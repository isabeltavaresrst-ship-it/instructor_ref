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ab76ec252c957cd7/Desktop/data_bootcamp_folder/instructor_ref/instructor_ref/Week 4/"/>
    </mc:Choice>
  </mc:AlternateContent>
  <xr:revisionPtr revIDLastSave="9" documentId="8_{C7888A45-16EE-42AE-9925-25BFA2395575}" xr6:coauthVersionLast="47" xr6:coauthVersionMax="47" xr10:uidLastSave="{F096845D-D550-4253-8192-43D8EA337AB5}"/>
  <bookViews>
    <workbookView xWindow="3490" yWindow="1090" windowWidth="18960" windowHeight="12620" activeTab="2" xr2:uid="{093018B4-BD74-45BA-99AD-4BE372E656CD}"/>
  </bookViews>
  <sheets>
    <sheet name="Background" sheetId="1" r:id="rId1"/>
    <sheet name="Ex1" sheetId="2" r:id="rId2"/>
    <sheet name="Ex2"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2" l="1"/>
  <c r="H15" i="2" a="1"/>
  <c r="H15" i="2" s="1"/>
  <c r="H14" i="2"/>
  <c r="H8" i="2"/>
  <c r="H7" i="2"/>
  <c r="A15" i="3" a="1"/>
  <c r="A15" i="3" s="1"/>
  <c r="F17" i="3"/>
  <c r="F13" i="3"/>
  <c r="F8" i="3"/>
  <c r="F9" i="3"/>
  <c r="G6" i="2"/>
  <c r="G17" i="2"/>
  <c r="G13" i="2"/>
  <c r="G12" i="2"/>
  <c r="G10" i="2"/>
  <c r="H10" i="2"/>
  <c r="A14" i="3"/>
  <c r="G17" i="3"/>
  <c r="G13" i="3"/>
  <c r="G9" i="3"/>
  <c r="G8" i="3"/>
  <c r="H17" i="2"/>
  <c r="H13" i="2"/>
  <c r="H12" i="2"/>
  <c r="H6"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<sst xmlns="http://schemas.openxmlformats.org/spreadsheetml/2006/main" count="78" uniqueCount="70">
  <si>
    <t>Feature</t>
  </si>
  <si>
    <t>VLOOKUP</t>
  </si>
  <si>
    <t>INDEX MATCH</t>
  </si>
  <si>
    <t>XLOOKUP</t>
  </si>
  <si>
    <t>Syntax Complexity</t>
  </si>
  <si>
    <t>Simple, but easily broken.</t>
  </si>
  <si>
    <t>Complex to read (Nested functions).</t>
  </si>
  <si>
    <t>Clean, intuitive, and robust.</t>
  </si>
  <si>
    <t>Lookup Direction</t>
  </si>
  <si>
    <r>
      <t xml:space="preserve">Strict </t>
    </r>
    <r>
      <rPr>
        <b/>
        <sz val="11"/>
        <color rgb="FF1F1F1F"/>
        <rFont val="Arial"/>
        <family val="2"/>
      </rPr>
      <t>Left-to-Right</t>
    </r>
    <r>
      <rPr>
        <sz val="11"/>
        <color rgb="FF1F1F1F"/>
        <rFont val="Arial"/>
        <family val="2"/>
      </rPr>
      <t xml:space="preserve"> only.</t>
    </r>
  </si>
  <si>
    <r>
      <t>Any direction</t>
    </r>
    <r>
      <rPr>
        <sz val="11"/>
        <color rgb="FF1F1F1F"/>
        <rFont val="Arial"/>
        <family val="2"/>
      </rPr>
      <t xml:space="preserve"> (Left, Right, Up, Down).</t>
    </r>
  </si>
  <si>
    <t>Structural Safety</t>
  </si>
  <si>
    <r>
      <t>Fragile.</t>
    </r>
    <r>
      <rPr>
        <sz val="11"/>
        <color rgb="FF1F1F1F"/>
        <rFont val="Arial"/>
        <family val="2"/>
      </rPr>
      <t xml:space="preserve"> Inserting columns breaks the formula.</t>
    </r>
  </si>
  <si>
    <r>
      <t>Safe.</t>
    </r>
    <r>
      <rPr>
        <sz val="11"/>
        <color rgb="FF1F1F1F"/>
        <rFont val="Arial"/>
        <family val="2"/>
      </rPr>
      <t xml:space="preserve"> Formula automatically adjusts to shifted ranges.</t>
    </r>
  </si>
  <si>
    <r>
      <t>Safe.</t>
    </r>
    <r>
      <rPr>
        <sz val="11"/>
        <color rgb="FF1F1F1F"/>
        <rFont val="Arial"/>
        <family val="2"/>
      </rPr>
      <t xml:space="preserve"> Array references shift dynamically with columns.</t>
    </r>
  </si>
  <si>
    <t>Processing Speed</t>
  </si>
  <si>
    <t>Slow on large tables (scans full matrices).</t>
  </si>
  <si>
    <t>Fast (scans exactly two individual columns).</t>
  </si>
  <si>
    <t>Exact Match Rule</t>
  </si>
  <si>
    <r>
      <t xml:space="preserve">Defaults to Approximate (Requires </t>
    </r>
    <r>
      <rPr>
        <sz val="10"/>
        <color rgb="FF444746"/>
        <rFont val="Google Sans Text"/>
        <family val="2"/>
      </rPr>
      <t>FALSE</t>
    </r>
    <r>
      <rPr>
        <sz val="11"/>
        <color rgb="FF1F1F1F"/>
        <rFont val="Arial"/>
        <family val="2"/>
      </rPr>
      <t xml:space="preserve"> or </t>
    </r>
    <r>
      <rPr>
        <sz val="10"/>
        <color rgb="FF444746"/>
        <rFont val="Google Sans Text"/>
        <family val="2"/>
      </rPr>
      <t>0</t>
    </r>
    <r>
      <rPr>
        <sz val="11"/>
        <color rgb="FF1F1F1F"/>
        <rFont val="Arial"/>
        <family val="2"/>
      </rPr>
      <t>).</t>
    </r>
  </si>
  <si>
    <r>
      <t>Requires exact match flag (</t>
    </r>
    <r>
      <rPr>
        <sz val="10"/>
        <color rgb="FF444746"/>
        <rFont val="Google Sans Text"/>
        <family val="2"/>
      </rPr>
      <t>0</t>
    </r>
    <r>
      <rPr>
        <sz val="11"/>
        <color rgb="FF1F1F1F"/>
        <rFont val="Arial"/>
        <family val="2"/>
      </rPr>
      <t xml:space="preserve"> in MATCH).</t>
    </r>
  </si>
  <si>
    <r>
      <t xml:space="preserve">Defaults to </t>
    </r>
    <r>
      <rPr>
        <b/>
        <sz val="11"/>
        <color rgb="FF1F1F1F"/>
        <rFont val="Arial"/>
        <family val="2"/>
      </rPr>
      <t>Exact Match</t>
    </r>
    <r>
      <rPr>
        <sz val="11"/>
        <color rgb="FF1F1F1F"/>
        <rFont val="Arial"/>
        <family val="2"/>
      </rPr>
      <t xml:space="preserve"> automatically.</t>
    </r>
  </si>
  <si>
    <t>Error Handling</t>
  </si>
  <si>
    <r>
      <t xml:space="preserve">Requires nesting inside </t>
    </r>
    <r>
      <rPr>
        <sz val="10"/>
        <color rgb="FF444746"/>
        <rFont val="Google Sans Text"/>
        <family val="2"/>
      </rPr>
      <t>IFERROR()</t>
    </r>
    <r>
      <rPr>
        <sz val="11"/>
        <color rgb="FF1F1F1F"/>
        <rFont val="Arial"/>
        <family val="2"/>
      </rPr>
      <t>.</t>
    </r>
  </si>
  <si>
    <r>
      <t xml:space="preserve">Has a built-in </t>
    </r>
    <r>
      <rPr>
        <sz val="10"/>
        <color rgb="FF444746"/>
        <rFont val="Google Sans Text"/>
        <family val="2"/>
      </rPr>
      <t>[if_not_found]</t>
    </r>
    <r>
      <rPr>
        <sz val="11"/>
        <color rgb="FF1F1F1F"/>
        <rFont val="Arial"/>
        <family val="2"/>
      </rPr>
      <t xml:space="preserve"> argument.</t>
    </r>
  </si>
  <si>
    <t>Key Structural Differences</t>
  </si>
  <si>
    <r>
      <t>Objective:</t>
    </r>
    <r>
      <rPr>
        <sz val="11"/>
        <color theme="1"/>
        <rFont val="Aptos Narrow"/>
        <family val="2"/>
        <scheme val="minor"/>
      </rPr>
      <t xml:space="preserve"> Learn how to pull data from a master table and understand why some formulas break when a spreadsheet layout changes.</t>
    </r>
  </si>
  <si>
    <t>P-101</t>
  </si>
  <si>
    <t>Laptop</t>
  </si>
  <si>
    <t>Electronics</t>
  </si>
  <si>
    <t>P-102</t>
  </si>
  <si>
    <t>Smartphone</t>
  </si>
  <si>
    <t>P-103</t>
  </si>
  <si>
    <t>Desk Chair</t>
  </si>
  <si>
    <t>Furniture</t>
  </si>
  <si>
    <t>P-104</t>
  </si>
  <si>
    <t>Blender</t>
  </si>
  <si>
    <t>Appliances</t>
  </si>
  <si>
    <t>Product ID</t>
  </si>
  <si>
    <t>Product Name</t>
  </si>
  <si>
    <t>Category</t>
  </si>
  <si>
    <t>Price</t>
  </si>
  <si>
    <t>ID we want to search</t>
  </si>
  <si>
    <t>Task A: The VLOOKUP Approach</t>
  </si>
  <si>
    <t>Solution</t>
  </si>
  <si>
    <t>Task B: The INDEX MATCH Approach</t>
  </si>
  <si>
    <t>Task C: The XLOOKUP Approach</t>
  </si>
  <si>
    <t>Right-click on Column C (Category) and select Insert.</t>
  </si>
  <si>
    <t>The Core Lesson: Test the Structural Breakdown!</t>
  </si>
  <si>
    <t>Exercise 1: Standard Lookups &amp; Structural Integrity</t>
  </si>
  <si>
    <t>Exercise 2: Looking Left (The Advanced Test)</t>
  </si>
  <si>
    <r>
      <t>Objective:</t>
    </r>
    <r>
      <rPr>
        <sz val="11"/>
        <color theme="1"/>
        <rFont val="Aptos Narrow"/>
        <family val="2"/>
        <scheme val="minor"/>
      </rPr>
      <t xml:space="preserve"> Look up information backward (to the left of the lookup key), revealing the major mechanical limitation of legacy formulas.</t>
    </r>
  </si>
  <si>
    <t>SN-9942</t>
  </si>
  <si>
    <t>Logistics</t>
  </si>
  <si>
    <t>Maria Santos</t>
  </si>
  <si>
    <t>SN-1150</t>
  </si>
  <si>
    <t>Operations</t>
  </si>
  <si>
    <t>John Doe</t>
  </si>
  <si>
    <t>SN-8831</t>
  </si>
  <si>
    <t>Communications</t>
  </si>
  <si>
    <t>Employee</t>
  </si>
  <si>
    <t>Serial Number</t>
  </si>
  <si>
    <t>Department</t>
  </si>
  <si>
    <t>We want to find who this serial number belongs to</t>
  </si>
  <si>
    <t>Task A: The VLOOKUP Challenge (The Wall)</t>
  </si>
  <si>
    <r>
      <t>It is impossible.</t>
    </r>
    <r>
      <rPr>
        <sz val="11"/>
        <color theme="1"/>
        <rFont val="Aptos Narrow"/>
        <family val="2"/>
        <scheme val="minor"/>
      </rPr>
      <t xml:space="preserve"> Since Column A sits to the </t>
    </r>
    <r>
      <rPr>
        <i/>
        <sz val="11"/>
        <color theme="1"/>
        <rFont val="Aptos Narrow"/>
        <family val="2"/>
        <scheme val="minor"/>
      </rPr>
      <t>left</t>
    </r>
    <r>
      <rPr>
        <sz val="11"/>
        <color theme="1"/>
        <rFont val="Aptos Narrow"/>
        <family val="2"/>
        <scheme val="minor"/>
      </rPr>
      <t xml:space="preserve"> of Column B, </t>
    </r>
  </si>
  <si>
    <t>VLOOKUP returns a #N/A error or cannot be written</t>
  </si>
  <si>
    <t>Task B: Solving it with INDEX MATCH</t>
  </si>
  <si>
    <t>Task C: Solving it with XLOOKUP</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</si>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</sst>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9">
    <font>
      <sz val="11"/>
      <color theme="1"/>
      <name val="Aptos Narrow"/>
      <family val="2"/>
      <scheme val="minor"/>
    </font>
    <font>
      <b/>
      <sz val="11"/>
      <color theme="1"/>
      <name val="Aptos Narrow"/>
      <family val="2"/>
      <scheme val="minor"/>
    </font>
    <font>
      <sz val="11"/>
      <color rgb="FF1F1F1F"/>
      <name val="Arial"/>
      <family val="2"/>
    </font>
    <font>
      <b/>
      <sz val="11"/>
      <color rgb="FF1F1F1F"/>
      <name val="Arial"/>
      <family val="2"/>
    </font>
    <font>
      <sz val="10"/>
      <color rgb="FF444746"/>
      <name val="Google Sans Text"/>
      <family val="2"/>
    </font>
    <font>
      <b/>
      <sz val="11"/>
      <color rgb="FF000000"/>
      <name val="Aptos Narrow"/>
      <family val="2"/>
      <scheme val="minor"/>
    </font>
    <font>
      <b/>
      <sz val="18"/>
      <color theme="1"/>
      <name val="Aptos Narrow"/>
      <family val="2"/>
      <scheme val="minor"/>
    </font>
    <font>
      <sz val="11"/>
      <color rgb="FF1F1F1F"/>
      <name val="Aptos Narrow"/>
      <family val="2"/>
      <scheme val="minor"/>
    </font>
    <font>
      <i/>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5" fillId="0" borderId="0" xfId="0" applyFont="1"/>
    <xf numFmtId="0" fontId="3" fillId="0" borderId="1" xfId="0" applyFont="1" applyBorder="1" applyAlignment="1">
      <alignment horizontal="left" vertical="center" wrapText="1" indent="1" readingOrder="1"/>
    </xf>
    <xf numFmtId="0" fontId="3" fillId="0" borderId="1" xfId="0" applyFont="1" applyBorder="1" applyAlignment="1">
      <alignment vertical="center" wrapText="1" readingOrder="1"/>
    </xf>
    <xf numFmtId="0" fontId="2" fillId="0" borderId="1" xfId="0" applyFont="1" applyBorder="1" applyAlignment="1">
      <alignment horizontal="left" vertical="center" wrapText="1" indent="1" readingOrder="1"/>
    </xf>
    <xf numFmtId="0" fontId="2" fillId="0" borderId="1" xfId="0" applyFont="1" applyBorder="1" applyAlignment="1">
      <alignment vertical="center" wrapText="1" readingOrder="1"/>
    </xf>
    <xf numFmtId="0" fontId="3" fillId="0" borderId="1" xfId="0" applyFont="1" applyBorder="1" applyAlignment="1">
      <alignment horizontal="center" vertical="center" wrapText="1" readingOrder="1"/>
    </xf>
    <xf numFmtId="0" fontId="6" fillId="0" borderId="0" xfId="0" applyFont="1" applyAlignment="1">
      <alignment vertical="center"/>
    </xf>
    <xf numFmtId="0" fontId="1" fillId="0" borderId="0" xfId="0" applyFont="1"/>
    <xf numFmtId="0" fontId="2" fillId="0" borderId="1" xfId="0" applyFont="1" applyBorder="1" applyAlignment="1">
      <alignment horizontal="right" vertical="center" wrapText="1" indent="1" readingOrder="1"/>
    </xf>
    <xf numFmtId="6" fontId="2" fillId="0" borderId="1" xfId="0" applyNumberFormat="1" applyFont="1" applyBorder="1" applyAlignment="1">
      <alignment vertical="center" wrapText="1" readingOrder="1"/>
    </xf>
    <xf numFmtId="0" fontId="2" fillId="0" borderId="0" xfId="0" applyFont="1" applyAlignment="1">
      <alignment horizontal="right" vertical="center" wrapText="1" indent="1" readingOrder="1"/>
    </xf>
    <xf numFmtId="0" fontId="3" fillId="0" borderId="0" xfId="0" applyFont="1" applyAlignment="1">
      <alignment horizontal="right" vertical="center" wrapText="1" indent="1" readingOrder="1"/>
    </xf>
    <xf numFmtId="0" fontId="7" fillId="0" borderId="0" xfId="0" applyFont="1" applyAlignment="1">
      <alignment horizontal="right" vertical="center" wrapText="1" indent="1" readingOrder="1"/>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11</xdr:col>
      <xdr:colOff>574040</xdr:colOff>
      <xdr:row>50</xdr:row>
      <xdr:rowOff>152400</xdr:rowOff>
    </xdr:to>
    <xdr:sp macro="" textlink="">
      <xdr:nvSpPr>
        <xdr:cNvPr id="2" name="TextBox 1">
          <a:extLst>
            <a:ext uri="{FF2B5EF4-FFF2-40B4-BE49-F238E27FC236}">
              <a16:creationId xmlns:a16="http://schemas.microsoft.com/office/drawing/2014/main" id="{F2290701-54A8-D787-97A7-F95912A0FFF4}"/>
            </a:ext>
          </a:extLst>
        </xdr:cNvPr>
        <xdr:cNvSpPr txBox="1"/>
      </xdr:nvSpPr>
      <xdr:spPr>
        <a:xfrm>
          <a:off x="609600" y="184150"/>
          <a:ext cx="6670040" cy="11220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When navigating data retrieval in Excel, you are looking at three generations of evolution.</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(1980s): The legacy pioneer. Highly popular but rigid and fragile.</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a:t>
          </a:r>
          <a:r>
            <a:rPr lang="en-US" sz="1100">
              <a:solidFill>
                <a:schemeClr val="dk1"/>
              </a:solidFill>
              <a:effectLst/>
              <a:latin typeface="+mn-lt"/>
              <a:ea typeface="+mn-ea"/>
              <a:cs typeface="+mn-cs"/>
            </a:rPr>
            <a:t> (1990s–2000s): The modular powerhouse. Flexible, fast, and robust against structure changes.</a:t>
          </a:r>
        </a:p>
        <a:p>
          <a:pPr marL="171450" indent="-171450">
            <a:buFont typeface="Arial" panose="020B0604020202020204" pitchFamily="34" charset="0"/>
            <a:buChar char="•"/>
          </a:pPr>
          <a:r>
            <a:rPr lang="en-US" sz="1100" b="1">
              <a:solidFill>
                <a:schemeClr val="dk1"/>
              </a:solidFill>
              <a:effectLst/>
              <a:latin typeface="+mn-lt"/>
              <a:ea typeface="+mn-ea"/>
              <a:cs typeface="+mn-cs"/>
            </a:rPr>
            <a:t>XLOOKUP</a:t>
          </a:r>
          <a:r>
            <a:rPr lang="en-US" sz="1100">
              <a:solidFill>
                <a:schemeClr val="dk1"/>
              </a:solidFill>
              <a:effectLst/>
              <a:latin typeface="+mn-lt"/>
              <a:ea typeface="+mn-ea"/>
              <a:cs typeface="+mn-cs"/>
            </a:rPr>
            <a:t> (2019+): The modern standard. Combines the flexibility of INDEX MATCH with an easy, single-function syntax.</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To understand why data professionals transitioned through these methods, let's break down how they compare structurally and mechanically.</a:t>
          </a:r>
        </a:p>
        <a:p>
          <a:br>
            <a:rPr lang="en-US"/>
          </a:br>
          <a:r>
            <a:rPr lang="en-US" sz="1100" b="1">
              <a:solidFill>
                <a:schemeClr val="dk1"/>
              </a:solidFill>
              <a:effectLst/>
              <a:latin typeface="+mn-lt"/>
              <a:ea typeface="+mn-ea"/>
              <a:cs typeface="+mn-cs"/>
            </a:rPr>
            <a:t>The Mechanical Breakdown</a:t>
          </a:r>
        </a:p>
        <a:p>
          <a:r>
            <a:rPr lang="en-US" sz="1100" b="1">
              <a:solidFill>
                <a:schemeClr val="dk1"/>
              </a:solidFill>
              <a:effectLst/>
              <a:latin typeface="+mn-lt"/>
              <a:ea typeface="+mn-ea"/>
              <a:cs typeface="+mn-cs"/>
            </a:rPr>
            <a:t>1. VLOOKUP (Vertical Lookup)</a:t>
          </a:r>
        </a:p>
        <a:p>
          <a:r>
            <a:rPr lang="en-US" sz="1100">
              <a:solidFill>
                <a:schemeClr val="dk1"/>
              </a:solidFill>
              <a:effectLst/>
              <a:latin typeface="+mn-lt"/>
              <a:ea typeface="+mn-ea"/>
              <a:cs typeface="+mn-cs"/>
            </a:rPr>
            <a:t>VLOOKUP operates on an all-in-one matrix design. It takes your search key, scans down the </a:t>
          </a:r>
          <a:r>
            <a:rPr lang="en-US" sz="1100" b="1">
              <a:solidFill>
                <a:schemeClr val="dk1"/>
              </a:solidFill>
              <a:effectLst/>
              <a:latin typeface="+mn-lt"/>
              <a:ea typeface="+mn-ea"/>
              <a:cs typeface="+mn-cs"/>
            </a:rPr>
            <a:t>absolute first column</a:t>
          </a:r>
          <a:r>
            <a:rPr lang="en-US" sz="1100">
              <a:solidFill>
                <a:schemeClr val="dk1"/>
              </a:solidFill>
              <a:effectLst/>
              <a:latin typeface="+mn-lt"/>
              <a:ea typeface="+mn-ea"/>
              <a:cs typeface="+mn-cs"/>
            </a:rPr>
            <a:t> of a selected table block, and counts across to the right by a hardcoded index number.</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=VLOOKUP(lookup_value, table_array, col_index_num, [range_lookup])</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INDEX MATCH (The Modular Duet)</a:t>
          </a:r>
        </a:p>
        <a:p>
          <a:r>
            <a:rPr lang="en-US" sz="1100">
              <a:solidFill>
                <a:schemeClr val="dk1"/>
              </a:solidFill>
              <a:effectLst/>
              <a:latin typeface="+mn-lt"/>
              <a:ea typeface="+mn-ea"/>
              <a:cs typeface="+mn-cs"/>
            </a:rPr>
            <a:t>Instead of a single rigid function, this method splits the work between two specialized operations: </a:t>
          </a:r>
          <a:r>
            <a:rPr lang="en-US" sz="1100" b="1">
              <a:solidFill>
                <a:schemeClr val="dk1"/>
              </a:solidFill>
              <a:effectLst/>
              <a:latin typeface="+mn-lt"/>
              <a:ea typeface="+mn-ea"/>
              <a:cs typeface="+mn-cs"/>
            </a:rPr>
            <a:t>MATCH</a:t>
          </a:r>
          <a:r>
            <a:rPr lang="en-US" sz="1100">
              <a:solidFill>
                <a:schemeClr val="dk1"/>
              </a:solidFill>
              <a:effectLst/>
              <a:latin typeface="+mn-lt"/>
              <a:ea typeface="+mn-ea"/>
              <a:cs typeface="+mn-cs"/>
            </a:rPr>
            <a:t> finds the vertical or horizontal row/column coordinates of your key, and </a:t>
          </a:r>
          <a:r>
            <a:rPr lang="en-US" sz="1100" b="1">
              <a:solidFill>
                <a:schemeClr val="dk1"/>
              </a:solidFill>
              <a:effectLst/>
              <a:latin typeface="+mn-lt"/>
              <a:ea typeface="+mn-ea"/>
              <a:cs typeface="+mn-cs"/>
            </a:rPr>
            <a:t>INDEX</a:t>
          </a:r>
          <a:r>
            <a:rPr lang="en-US" sz="1100">
              <a:solidFill>
                <a:schemeClr val="dk1"/>
              </a:solidFill>
              <a:effectLst/>
              <a:latin typeface="+mn-lt"/>
              <a:ea typeface="+mn-ea"/>
              <a:cs typeface="+mn-cs"/>
            </a:rPr>
            <a:t> uses those coordinates to extract the value from a completely separate target range.</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=INDEX(return_range, MATCH(lookup_value, lookup_range, 0))</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XLOOKUP (The Modern Evolution)</a:t>
          </a:r>
        </a:p>
        <a:p>
          <a:r>
            <a:rPr lang="en-US" sz="1100">
              <a:solidFill>
                <a:schemeClr val="dk1"/>
              </a:solidFill>
              <a:effectLst/>
              <a:latin typeface="+mn-lt"/>
              <a:ea typeface="+mn-ea"/>
              <a:cs typeface="+mn-cs"/>
            </a:rPr>
            <a:t>XLOOKUP strips away the complexity of nesting functions while keeping the modular backend. You simply give it a search key, a single column to look through, and a single column to pull from.</a:t>
          </a:r>
        </a:p>
        <a:p>
          <a:endParaRPr lang="en-US" sz="1100">
            <a:solidFill>
              <a:schemeClr val="dk1"/>
            </a:solidFill>
            <a:effectLst/>
            <a:latin typeface="+mn-lt"/>
            <a:ea typeface="+mn-ea"/>
            <a:cs typeface="+mn-cs"/>
          </a:endParaRPr>
        </a:p>
        <a:p>
          <a:r>
            <a:rPr lang="en-US" sz="1100">
              <a:solidFill>
                <a:schemeClr val="dk1"/>
              </a:solidFill>
              <a:effectLst/>
              <a:latin typeface="+mn-lt"/>
              <a:ea typeface="+mn-ea"/>
              <a:cs typeface="+mn-cs"/>
            </a:rPr>
            <a:t>	=XLOOKUP(lookup_value, lookup_array, return_array, [if_not_found], [match_mode], [search_mode])</a:t>
          </a:r>
        </a:p>
        <a:p>
          <a:endParaRPr lang="en-US"/>
        </a:p>
        <a:p>
          <a:r>
            <a:rPr lang="en-US" sz="1100" b="1">
              <a:solidFill>
                <a:schemeClr val="dk1"/>
              </a:solidFill>
              <a:effectLst/>
              <a:latin typeface="+mn-lt"/>
              <a:ea typeface="+mn-ea"/>
              <a:cs typeface="+mn-cs"/>
            </a:rPr>
            <a:t>Why XLOOKUP and INDEX MATCH Outperform VLOOKUP</a:t>
          </a:r>
        </a:p>
        <a:p>
          <a:r>
            <a:rPr lang="en-US" sz="1100" b="1">
              <a:solidFill>
                <a:schemeClr val="dk1"/>
              </a:solidFill>
              <a:effectLst/>
              <a:latin typeface="+mn-lt"/>
              <a:ea typeface="+mn-ea"/>
              <a:cs typeface="+mn-cs"/>
            </a:rPr>
            <a:t>1. Looking Up to the Left</a:t>
          </a:r>
        </a:p>
        <a:p>
          <a:r>
            <a:rPr lang="en-US" sz="1100">
              <a:solidFill>
                <a:schemeClr val="dk1"/>
              </a:solidFill>
              <a:effectLst/>
              <a:latin typeface="+mn-lt"/>
              <a:ea typeface="+mn-ea"/>
              <a:cs typeface="+mn-cs"/>
            </a:rPr>
            <a:t>VLOOKUP cannot look backward. If your "Employee ID" is in Column B, and the "Employee Name" is in Column A, VLOOKUP fails because the search key isn't in the leftmost column. You would have to physically redesign your data layout. Both INDEX MATCH and XLOOKUP treat arrays as isolated entities, allowing you to search a key anywhere and return a value from any direction.</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2. Layout Immunity (Column Injection)</a:t>
          </a:r>
        </a:p>
        <a:p>
          <a:r>
            <a:rPr lang="en-US" sz="1100">
              <a:solidFill>
                <a:schemeClr val="dk1"/>
              </a:solidFill>
              <a:effectLst/>
              <a:latin typeface="+mn-lt"/>
              <a:ea typeface="+mn-ea"/>
              <a:cs typeface="+mn-cs"/>
            </a:rPr>
            <a:t>If you build a VLOOKUP referencing column index number 3, and someone inserts a new column into the database tomorrow, your formula breaks or returns incorrect values because your target shifted to column 4. Because INDEX MATCH and XLOOKUP point directly to named or coordinate ranges (like $C$2:$C$100), Excel dynamically updates the underlying formula cell coordinates when structure edits occur.</a:t>
          </a:r>
        </a:p>
        <a:p>
          <a:endParaRPr lang="en-US" sz="1100" b="1">
            <a:solidFill>
              <a:schemeClr val="dk1"/>
            </a:solidFill>
            <a:effectLst/>
            <a:latin typeface="+mn-lt"/>
            <a:ea typeface="+mn-ea"/>
            <a:cs typeface="+mn-cs"/>
          </a:endParaRPr>
        </a:p>
        <a:p>
          <a:r>
            <a:rPr lang="en-US" sz="1100" b="1">
              <a:solidFill>
                <a:schemeClr val="dk1"/>
              </a:solidFill>
              <a:effectLst/>
              <a:latin typeface="+mn-lt"/>
              <a:ea typeface="+mn-ea"/>
              <a:cs typeface="+mn-cs"/>
            </a:rPr>
            <a:t>3. Horizontal and Advanced Capabilities</a:t>
          </a:r>
        </a:p>
        <a:p>
          <a:r>
            <a:rPr lang="en-US" sz="1100">
              <a:solidFill>
                <a:schemeClr val="dk1"/>
              </a:solidFill>
              <a:effectLst/>
              <a:latin typeface="+mn-lt"/>
              <a:ea typeface="+mn-ea"/>
              <a:cs typeface="+mn-cs"/>
            </a:rPr>
            <a:t>Traditional Excel required a completely different function, HLOOKUP, to scan horizontal rows. INDEX MATCH solves this dynamically by swapping matrix index targets, while XLOOKUP natively handles both vertical and horizontal lookups without altering its structural syntax. XLOOKUP also introduces native binary search operations (searching from bottom-to-top or top-to-bottom) out of the box.</a:t>
          </a:r>
        </a:p>
        <a:p>
          <a:br>
            <a:rPr lang="en-US"/>
          </a:br>
          <a:r>
            <a:rPr lang="en-US" sz="1100" b="1">
              <a:solidFill>
                <a:schemeClr val="dk1"/>
              </a:solidFill>
              <a:effectLst/>
              <a:latin typeface="+mn-lt"/>
              <a:ea typeface="+mn-ea"/>
              <a:cs typeface="+mn-cs"/>
            </a:rPr>
            <a:t>Data Science Reflection</a:t>
          </a:r>
        </a:p>
        <a:p>
          <a:r>
            <a:rPr lang="en-US" sz="1100">
              <a:solidFill>
                <a:schemeClr val="dk1"/>
              </a:solidFill>
              <a:effectLst/>
              <a:latin typeface="+mn-lt"/>
              <a:ea typeface="+mn-ea"/>
              <a:cs typeface="+mn-cs"/>
            </a:rPr>
            <a:t>Understanding this evolutionary progression maps neatly into structural engineering principles taught across database analytics.</a:t>
          </a:r>
        </a:p>
        <a:p>
          <a:pPr marL="171450" indent="-171450">
            <a:buFont typeface="Arial" panose="020B0604020202020204" pitchFamily="34" charset="0"/>
            <a:buChar char="•"/>
          </a:pPr>
          <a:r>
            <a:rPr lang="en-US" sz="1100" b="1">
              <a:solidFill>
                <a:schemeClr val="dk1"/>
              </a:solidFill>
              <a:effectLst/>
              <a:latin typeface="+mn-lt"/>
              <a:ea typeface="+mn-ea"/>
              <a:cs typeface="+mn-cs"/>
            </a:rPr>
            <a:t>VLOOKUP</a:t>
          </a:r>
          <a:r>
            <a:rPr lang="en-US" sz="1100">
              <a:solidFill>
                <a:schemeClr val="dk1"/>
              </a:solidFill>
              <a:effectLst/>
              <a:latin typeface="+mn-lt"/>
              <a:ea typeface="+mn-ea"/>
              <a:cs typeface="+mn-cs"/>
            </a:rPr>
            <a:t> treats a spreadsheet like a static, physical </a:t>
          </a:r>
          <a:r>
            <a:rPr lang="en-US" sz="1100" b="1">
              <a:solidFill>
                <a:schemeClr val="dk1"/>
              </a:solidFill>
              <a:effectLst/>
              <a:latin typeface="+mn-lt"/>
              <a:ea typeface="+mn-ea"/>
              <a:cs typeface="+mn-cs"/>
            </a:rPr>
            <a:t>Grid Matrix</a:t>
          </a:r>
          <a:r>
            <a:rPr lang="en-US" sz="1100">
              <a:solidFill>
                <a:schemeClr val="dk1"/>
              </a:solidFill>
              <a:effectLst/>
              <a:latin typeface="+mn-lt"/>
              <a:ea typeface="+mn-ea"/>
              <a:cs typeface="+mn-cs"/>
            </a:rPr>
            <a:t>. It relies on rigid geometry ($X$ rows down, $Y$ columns right).</a:t>
          </a:r>
        </a:p>
        <a:p>
          <a:pPr marL="171450" indent="-171450">
            <a:buFont typeface="Arial" panose="020B0604020202020204" pitchFamily="34" charset="0"/>
            <a:buChar char="•"/>
          </a:pPr>
          <a:r>
            <a:rPr lang="en-US" sz="1100" b="1">
              <a:solidFill>
                <a:schemeClr val="dk1"/>
              </a:solidFill>
              <a:effectLst/>
              <a:latin typeface="+mn-lt"/>
              <a:ea typeface="+mn-ea"/>
              <a:cs typeface="+mn-cs"/>
            </a:rPr>
            <a:t>INDEX MATCH and XLOOKUP</a:t>
          </a:r>
          <a:r>
            <a:rPr lang="en-US" sz="1100">
              <a:solidFill>
                <a:schemeClr val="dk1"/>
              </a:solidFill>
              <a:effectLst/>
              <a:latin typeface="+mn-lt"/>
              <a:ea typeface="+mn-ea"/>
              <a:cs typeface="+mn-cs"/>
            </a:rPr>
            <a:t> treat data like a </a:t>
          </a:r>
          <a:r>
            <a:rPr lang="en-US" sz="1100" b="1">
              <a:solidFill>
                <a:schemeClr val="dk1"/>
              </a:solidFill>
              <a:effectLst/>
              <a:latin typeface="+mn-lt"/>
              <a:ea typeface="+mn-ea"/>
              <a:cs typeface="+mn-cs"/>
            </a:rPr>
            <a:t>Relational Database Table</a:t>
          </a:r>
          <a:r>
            <a:rPr lang="en-US" sz="1100">
              <a:solidFill>
                <a:schemeClr val="dk1"/>
              </a:solidFill>
              <a:effectLst/>
              <a:latin typeface="+mn-lt"/>
              <a:ea typeface="+mn-ea"/>
              <a:cs typeface="+mn-cs"/>
            </a:rPr>
            <a:t>. They don't care about spatial geometry; they decouple your search vectors, mirroring structural query mechanics like SQL JOIN statements or Pandas column mappings:</a:t>
          </a:r>
        </a:p>
        <a:p>
          <a:endParaRPr lang="en-US" sz="1100"/>
        </a:p>
        <a:p>
          <a:endParaRPr lang="en-US" sz="1100"/>
        </a:p>
      </xdr:txBody>
    </xdr:sp>
    <xdr:clientData/>
  </xdr:twoCellAnchor>
  <xdr:twoCellAnchor editAs="oneCell">
    <xdr:from>
      <xdr:col>1</xdr:col>
      <xdr:colOff>256540</xdr:colOff>
      <xdr:row>43</xdr:row>
      <xdr:rowOff>59690</xdr:rowOff>
    </xdr:from>
    <xdr:to>
      <xdr:col>11</xdr:col>
      <xdr:colOff>187212</xdr:colOff>
      <xdr:row>50</xdr:row>
      <xdr:rowOff>83934</xdr:rowOff>
    </xdr:to>
    <xdr:pic>
      <xdr:nvPicPr>
        <xdr:cNvPr id="3" name="Picture 2">
          <a:extLst>
            <a:ext uri="{FF2B5EF4-FFF2-40B4-BE49-F238E27FC236}">
              <a16:creationId xmlns:a16="http://schemas.microsoft.com/office/drawing/2014/main" id="{1564C021-7247-2B2C-061A-600E6949531F}"/>
            </a:ext>
          </a:extLst>
        </xdr:cNvPr>
        <xdr:cNvPicPr>
          <a:picLocks noChangeAspect="1"/>
        </xdr:cNvPicPr>
      </xdr:nvPicPr>
      <xdr:blipFill>
        <a:blip xmlns:r="http://schemas.openxmlformats.org/officeDocument/2006/relationships" r:embed="rId1"/>
        <a:stretch>
          <a:fillRect/>
        </a:stretch>
      </xdr:blipFill>
      <xdr:spPr>
        <a:xfrm>
          <a:off x="866140" y="10022840"/>
          <a:ext cx="6020322" cy="1323454"/>
        </a:xfrm>
        <a:prstGeom prst="rect">
          <a:avLst/>
        </a:prstGeom>
      </xdr:spPr>
    </xdr:pic>
    <xdr:clientData/>
  </xdr:twoCellAnchor>
  <xdr:twoCellAnchor>
    <xdr:from>
      <xdr:col>13</xdr:col>
      <xdr:colOff>30480</xdr:colOff>
      <xdr:row>10</xdr:row>
      <xdr:rowOff>152400</xdr:rowOff>
    </xdr:from>
    <xdr:to>
      <xdr:col>16</xdr:col>
      <xdr:colOff>1409700</xdr:colOff>
      <xdr:row>47</xdr:row>
      <xdr:rowOff>139700</xdr:rowOff>
    </xdr:to>
    <xdr:sp macro="" textlink="">
      <xdr:nvSpPr>
        <xdr:cNvPr id="4" name="TextBox 3">
          <a:extLst>
            <a:ext uri="{FF2B5EF4-FFF2-40B4-BE49-F238E27FC236}">
              <a16:creationId xmlns:a16="http://schemas.microsoft.com/office/drawing/2014/main" id="{3B916B8E-4120-E80B-F693-130EA7EAABD9}"/>
            </a:ext>
          </a:extLst>
        </xdr:cNvPr>
        <xdr:cNvSpPr txBox="1"/>
      </xdr:nvSpPr>
      <xdr:spPr>
        <a:xfrm>
          <a:off x="7955280" y="4038600"/>
          <a:ext cx="5322570" cy="6800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Explaining the Match Modes: </a:t>
          </a:r>
          <a:r>
            <a:rPr lang="en-US" sz="1100" b="1">
              <a:solidFill>
                <a:schemeClr val="dk1"/>
              </a:solidFill>
              <a:latin typeface="+mn-lt"/>
              <a:ea typeface="+mn-ea"/>
              <a:cs typeface="+mn-cs"/>
            </a:rPr>
            <a:t>0</a:t>
          </a:r>
          <a:r>
            <a:rPr lang="en-US" b="1"/>
            <a:t>, </a:t>
          </a:r>
          <a:r>
            <a:rPr lang="en-US" sz="1100" b="1">
              <a:solidFill>
                <a:schemeClr val="dk1"/>
              </a:solidFill>
              <a:latin typeface="+mn-lt"/>
              <a:ea typeface="+mn-ea"/>
              <a:cs typeface="+mn-cs"/>
            </a:rPr>
            <a:t>1</a:t>
          </a:r>
          <a:r>
            <a:rPr lang="en-US" b="1"/>
            <a:t>, and </a:t>
          </a:r>
          <a:r>
            <a:rPr lang="en-US" sz="1100" b="1">
              <a:solidFill>
                <a:schemeClr val="dk1"/>
              </a:solidFill>
              <a:latin typeface="+mn-lt"/>
              <a:ea typeface="+mn-ea"/>
              <a:cs typeface="+mn-cs"/>
            </a:rPr>
            <a:t>-1</a:t>
          </a:r>
          <a:endParaRPr lang="en-US" b="1"/>
        </a:p>
        <a:p>
          <a:r>
            <a:rPr lang="en-US"/>
            <a:t>The third argument inside the </a:t>
          </a:r>
          <a:r>
            <a:rPr lang="en-US" sz="1100">
              <a:solidFill>
                <a:schemeClr val="dk1"/>
              </a:solidFill>
              <a:latin typeface="+mn-lt"/>
              <a:ea typeface="+mn-ea"/>
              <a:cs typeface="+mn-cs"/>
            </a:rPr>
            <a:t>MATCH</a:t>
          </a:r>
          <a:r>
            <a:rPr lang="en-US"/>
            <a:t> function (</a:t>
          </a:r>
          <a:r>
            <a:rPr lang="en-US" sz="1100">
              <a:solidFill>
                <a:schemeClr val="dk1"/>
              </a:solidFill>
              <a:latin typeface="+mn-lt"/>
              <a:ea typeface="+mn-ea"/>
              <a:cs typeface="+mn-cs"/>
            </a:rPr>
            <a:t>match_type</a:t>
          </a:r>
          <a:r>
            <a:rPr lang="en-US"/>
            <a:t>) tells Excel how strictly or flexibly it should look for a number. This is a crucial concept for data analysts to understand.</a:t>
          </a:r>
        </a:p>
        <a:p>
          <a:endParaRPr lang="en-US"/>
        </a:p>
        <a:p>
          <a:r>
            <a:rPr lang="en-US" sz="1100">
              <a:solidFill>
                <a:schemeClr val="dk1"/>
              </a:solidFill>
              <a:effectLst/>
              <a:latin typeface="+mn-lt"/>
              <a:ea typeface="+mn-ea"/>
              <a:cs typeface="+mn-cs"/>
            </a:rPr>
            <a:t>	=MATCH(lookup_value, lookup_array, [match_type])</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0</a:t>
          </a:r>
          <a:r>
            <a:rPr lang="en-US" b="1"/>
            <a:t> = Exact Match (The Data Analyst Default)</a:t>
          </a:r>
        </a:p>
        <a:p>
          <a:r>
            <a:rPr lang="en-US" b="1"/>
            <a:t>How it works:</a:t>
          </a:r>
          <a:r>
            <a:rPr lang="en-US"/>
            <a:t> Excel scans the column and looks for an identical, flawless match. If it doesn't find the exact value (even a single character or space off), it completely stops and throws an </a:t>
          </a:r>
          <a:r>
            <a:rPr lang="en-US" sz="1100">
              <a:solidFill>
                <a:schemeClr val="dk1"/>
              </a:solidFill>
              <a:latin typeface="+mn-lt"/>
              <a:ea typeface="+mn-ea"/>
              <a:cs typeface="+mn-cs"/>
            </a:rPr>
            <a:t>#N/A</a:t>
          </a:r>
          <a:r>
            <a:rPr lang="en-US"/>
            <a:t> error.</a:t>
          </a:r>
        </a:p>
        <a:p>
          <a:r>
            <a:rPr lang="en-US" b="1"/>
            <a:t>Sorting Required?</a:t>
          </a:r>
          <a:r>
            <a:rPr lang="en-US"/>
            <a:t> No. The data can be completely scrambled, and Excel will still find it.</a:t>
          </a:r>
        </a:p>
        <a:p>
          <a:r>
            <a:rPr lang="en-US" b="1"/>
            <a:t>When to use it:</a:t>
          </a:r>
          <a:r>
            <a:rPr lang="en-US"/>
            <a:t> 99% of the time. Always use </a:t>
          </a:r>
          <a:r>
            <a:rPr lang="en-US" sz="1100">
              <a:solidFill>
                <a:schemeClr val="dk1"/>
              </a:solidFill>
              <a:latin typeface="+mn-lt"/>
              <a:ea typeface="+mn-ea"/>
              <a:cs typeface="+mn-cs"/>
            </a:rPr>
            <a:t>0</a:t>
          </a:r>
          <a:r>
            <a:rPr lang="en-US"/>
            <a:t> when searching for unique keys like Product IDs, Serial Numbers, Names, or Transaction Numbers.</a:t>
          </a:r>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Less Than (Approximate Match / Next Smallest)</a:t>
          </a:r>
        </a:p>
        <a:p>
          <a:r>
            <a:rPr lang="en-US" b="1"/>
            <a:t>How it works:</a:t>
          </a:r>
          <a:r>
            <a:rPr lang="en-US"/>
            <a:t> Excel searches for your value. If it can't find an exact match, it looks for the </a:t>
          </a:r>
          <a:r>
            <a:rPr lang="en-US" b="1"/>
            <a:t>largest value that is still less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Ascending order (A to Z / Smallest to Largest)</a:t>
          </a:r>
          <a:r>
            <a:rPr lang="en-US"/>
            <a:t>. If it isn't sorted, the formula will return completely random, wrong positions.</a:t>
          </a:r>
        </a:p>
        <a:p>
          <a:r>
            <a:rPr lang="en-US" b="1"/>
            <a:t>When to use it:</a:t>
          </a:r>
          <a:r>
            <a:rPr lang="en-US"/>
            <a:t> Perfect for step-based tiers, like tax brackets or shipping cost tiers. </a:t>
          </a:r>
          <a:r>
            <a:rPr lang="en-US" i="1"/>
            <a:t>(e.g., If a customer spends $45, and your discount tiers are at $0, $20, and $50, a match type of </a:t>
          </a:r>
          <a:r>
            <a:rPr lang="en-US" sz="1100" i="1">
              <a:solidFill>
                <a:schemeClr val="dk1"/>
              </a:solidFill>
              <a:latin typeface="+mn-lt"/>
              <a:ea typeface="+mn-ea"/>
              <a:cs typeface="+mn-cs"/>
            </a:rPr>
            <a:t>1</a:t>
          </a:r>
          <a:r>
            <a:rPr lang="en-US" i="1"/>
            <a:t> will drop them back to the $20 tier index).</a:t>
          </a:r>
          <a:endParaRPr lang="en-US"/>
        </a:p>
        <a:p>
          <a:endParaRPr lang="en-US" sz="1100" b="1">
            <a:solidFill>
              <a:schemeClr val="dk1"/>
            </a:solidFill>
            <a:latin typeface="+mn-lt"/>
            <a:ea typeface="+mn-ea"/>
            <a:cs typeface="+mn-cs"/>
          </a:endParaRPr>
        </a:p>
        <a:p>
          <a:r>
            <a:rPr lang="en-US" sz="1100" b="1">
              <a:solidFill>
                <a:schemeClr val="dk1"/>
              </a:solidFill>
              <a:latin typeface="+mn-lt"/>
              <a:ea typeface="+mn-ea"/>
              <a:cs typeface="+mn-cs"/>
            </a:rPr>
            <a:t>-1</a:t>
          </a:r>
          <a:r>
            <a:rPr lang="en-US" b="1"/>
            <a:t> = Greater Than (Approximate Match / Next Largest)</a:t>
          </a:r>
        </a:p>
        <a:p>
          <a:r>
            <a:rPr lang="en-US" b="1"/>
            <a:t>How it works:</a:t>
          </a:r>
          <a:r>
            <a:rPr lang="en-US"/>
            <a:t> Excel searches for your value. If it can't find an exact match, it looks for the </a:t>
          </a:r>
          <a:r>
            <a:rPr lang="en-US" b="1"/>
            <a:t>smallest value that is still greater than or equal to</a:t>
          </a:r>
          <a:r>
            <a:rPr lang="en-US"/>
            <a:t> your lookup value.</a:t>
          </a:r>
        </a:p>
        <a:p>
          <a:r>
            <a:rPr lang="en-US" b="1"/>
            <a:t>Sorting Required?</a:t>
          </a:r>
          <a:r>
            <a:rPr lang="en-US"/>
            <a:t> </a:t>
          </a:r>
          <a:r>
            <a:rPr lang="en-US" b="1"/>
            <a:t>Yes.</a:t>
          </a:r>
          <a:r>
            <a:rPr lang="en-US"/>
            <a:t> The lookup column </a:t>
          </a:r>
          <a:r>
            <a:rPr lang="en-US" b="1"/>
            <a:t>must</a:t>
          </a:r>
          <a:r>
            <a:rPr lang="en-US"/>
            <a:t> be sorted in </a:t>
          </a:r>
          <a:r>
            <a:rPr lang="en-US" b="1"/>
            <a:t>Descending order (Z to A / Largest to Smallest)</a:t>
          </a:r>
          <a:r>
            <a:rPr lang="en-US"/>
            <a:t>.</a:t>
          </a:r>
        </a:p>
        <a:p>
          <a:r>
            <a:rPr lang="en-US" b="1"/>
            <a:t>When to use it:</a:t>
          </a:r>
          <a:r>
            <a:rPr lang="en-US"/>
            <a:t> Used when you are counting down from a ceiling. For example, if you are analyzing supply levels or checking inventory thresholds to see which target minimum bracket a value qualifies for next.</a:t>
          </a:r>
        </a:p>
        <a:p>
          <a:br>
            <a:rPr lang="en-US"/>
          </a:br>
          <a:r>
            <a:rPr lang="en-US" b="1"/>
            <a:t>Data Science Analogy for the Classroom (#dab-apr-2026)</a:t>
          </a:r>
        </a:p>
        <a:p>
          <a:r>
            <a:rPr lang="en-US"/>
            <a:t>Tell your students that changing this final number is the structural equivalent of moving from an exact evaluation operator to an inequality operator in an algorithm:</a:t>
          </a:r>
        </a:p>
        <a:p>
          <a:r>
            <a:rPr lang="en-US" sz="1100">
              <a:solidFill>
                <a:schemeClr val="dk1"/>
              </a:solidFill>
              <a:latin typeface="+mn-lt"/>
              <a:ea typeface="+mn-ea"/>
              <a:cs typeface="+mn-cs"/>
            </a:rPr>
            <a:t>0</a:t>
          </a:r>
          <a:r>
            <a:rPr lang="en-US"/>
            <a:t> means: </a:t>
          </a:r>
          <a:r>
            <a:rPr lang="en-US" sz="1100">
              <a:solidFill>
                <a:schemeClr val="dk1"/>
              </a:solidFill>
              <a:latin typeface="+mn-lt"/>
              <a:ea typeface="+mn-ea"/>
              <a:cs typeface="+mn-cs"/>
            </a:rPr>
            <a:t>if x == target:</a:t>
          </a:r>
          <a:endParaRPr lang="en-US"/>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&lt;= target:</a:t>
          </a:r>
          <a:r>
            <a:rPr lang="en-US"/>
            <a:t> (searching upward)</a:t>
          </a:r>
        </a:p>
        <a:p>
          <a:r>
            <a:rPr lang="en-US" sz="1100">
              <a:solidFill>
                <a:schemeClr val="dk1"/>
              </a:solidFill>
              <a:latin typeface="+mn-lt"/>
              <a:ea typeface="+mn-ea"/>
              <a:cs typeface="+mn-cs"/>
            </a:rPr>
            <a:t>-1</a:t>
          </a:r>
          <a:r>
            <a:rPr lang="en-US"/>
            <a:t> means: </a:t>
          </a:r>
          <a:r>
            <a:rPr lang="en-US" sz="1100">
              <a:solidFill>
                <a:schemeClr val="dk1"/>
              </a:solidFill>
              <a:latin typeface="+mn-lt"/>
              <a:ea typeface="+mn-ea"/>
              <a:cs typeface="+mn-cs"/>
            </a:rPr>
            <a:t>if x &gt;= target:</a:t>
          </a:r>
          <a:r>
            <a:rPr lang="en-US"/>
            <a:t> (searching downward)</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8890</xdr:colOff>
      <xdr:row>2</xdr:row>
      <xdr:rowOff>38100</xdr:rowOff>
    </xdr:from>
    <xdr:to>
      <xdr:col>18</xdr:col>
      <xdr:colOff>422910</xdr:colOff>
      <xdr:row>34</xdr:row>
      <xdr:rowOff>165100</xdr:rowOff>
    </xdr:to>
    <xdr:sp macro="" textlink="">
      <xdr:nvSpPr>
        <xdr:cNvPr id="2" name="TextBox 1">
          <a:extLst>
            <a:ext uri="{FF2B5EF4-FFF2-40B4-BE49-F238E27FC236}">
              <a16:creationId xmlns:a16="http://schemas.microsoft.com/office/drawing/2014/main" id="{28C911EA-E578-0CFF-EB1C-BB17B8C464C7}"/>
            </a:ext>
          </a:extLst>
        </xdr:cNvPr>
        <xdr:cNvSpPr txBox="1"/>
      </xdr:nvSpPr>
      <xdr:spPr>
        <a:xfrm>
          <a:off x="8371840" y="520700"/>
          <a:ext cx="4681220" cy="601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The reason we are getting </a:t>
          </a:r>
          <a:r>
            <a:rPr lang="en-US" b="1"/>
            <a:t>John Doe</a:t>
          </a:r>
          <a:r>
            <a:rPr lang="en-US"/>
            <a:t> (row 3) instead of </a:t>
          </a:r>
          <a:r>
            <a:rPr lang="en-US" b="1"/>
            <a:t>Maria Santos</a:t>
          </a:r>
          <a:r>
            <a:rPr lang="en-US"/>
            <a:t> (row 2) is because of a hidden, compounding double-error built into how legacy Excel functions default.</a:t>
          </a:r>
        </a:p>
        <a:p>
          <a:endParaRPr lang="en-US"/>
        </a:p>
        <a:p>
          <a:r>
            <a:rPr lang="en-US"/>
            <a:t>We have run right into the intersection of VLOOKUP's </a:t>
          </a:r>
          <a:r>
            <a:rPr lang="en-US" b="1"/>
            <a:t>inability to look left</a:t>
          </a:r>
          <a:r>
            <a:rPr lang="en-US"/>
            <a:t> and its dangerous default setting: </a:t>
          </a:r>
          <a:r>
            <a:rPr lang="en-US" b="1"/>
            <a:t>Approximate Match (</a:t>
          </a:r>
          <a:r>
            <a:rPr lang="en-US" sz="1100" b="1">
              <a:solidFill>
                <a:schemeClr val="dk1"/>
              </a:solidFill>
              <a:latin typeface="+mn-lt"/>
              <a:ea typeface="+mn-ea"/>
              <a:cs typeface="+mn-cs"/>
            </a:rPr>
            <a:t>TRUE</a:t>
          </a:r>
          <a:r>
            <a:rPr lang="en-US" b="1"/>
            <a:t>)</a:t>
          </a:r>
          <a:r>
            <a:rPr lang="en-US"/>
            <a:t>.</a:t>
          </a:r>
          <a:r>
            <a:rPr lang="en-US" baseline="0"/>
            <a:t> </a:t>
          </a:r>
          <a:r>
            <a:rPr lang="en-US"/>
            <a:t>Here is the exact mechanical breakdown of why Excel is returning John Doe, which you can map directly on the board for the class.</a:t>
          </a:r>
        </a:p>
        <a:p>
          <a:br>
            <a:rPr lang="en-US"/>
          </a:br>
          <a:r>
            <a:rPr lang="en-US" b="1"/>
            <a:t>The Anatomy of the Failure</a:t>
          </a:r>
        </a:p>
        <a:p>
          <a:r>
            <a:rPr lang="en-US"/>
            <a:t>Our formula looks like this: </a:t>
          </a:r>
          <a:r>
            <a:rPr lang="en-US" sz="1100">
              <a:solidFill>
                <a:schemeClr val="dk1"/>
              </a:solidFill>
              <a:latin typeface="+mn-lt"/>
              <a:ea typeface="+mn-ea"/>
              <a:cs typeface="+mn-cs"/>
            </a:rPr>
            <a:t>=VLOOKUP(A10, A6:D8, 1)</a:t>
          </a:r>
          <a:endParaRPr lang="en-US"/>
        </a:p>
        <a:p>
          <a:r>
            <a:rPr lang="en-US" b="1"/>
            <a:t>Error 1: The "Looking Left" Violation</a:t>
          </a:r>
        </a:p>
        <a:p>
          <a:r>
            <a:rPr lang="en-US"/>
            <a:t>By highlighting </a:t>
          </a:r>
          <a:r>
            <a:rPr lang="en-US" sz="1100">
              <a:solidFill>
                <a:schemeClr val="dk1"/>
              </a:solidFill>
              <a:latin typeface="+mn-lt"/>
              <a:ea typeface="+mn-ea"/>
              <a:cs typeface="+mn-cs"/>
            </a:rPr>
            <a:t>A6:D8</a:t>
          </a:r>
          <a:r>
            <a:rPr lang="en-US"/>
            <a:t> as our table array, we told VLOOKUP that </a:t>
          </a:r>
          <a:r>
            <a:rPr lang="en-US" b="1"/>
            <a:t>Column A (Employee)</a:t>
          </a:r>
          <a:r>
            <a:rPr lang="en-US"/>
            <a:t> is the lookup column. Excel takes our search key (</a:t>
          </a:r>
          <a:r>
            <a:rPr lang="en-US" sz="1100">
              <a:solidFill>
                <a:schemeClr val="dk1"/>
              </a:solidFill>
              <a:latin typeface="+mn-lt"/>
              <a:ea typeface="+mn-ea"/>
              <a:cs typeface="+mn-cs"/>
            </a:rPr>
            <a:t>SN-1150</a:t>
          </a:r>
          <a:r>
            <a:rPr lang="en-US"/>
            <a:t>) and tries to find it inside Column A. It scans </a:t>
          </a:r>
          <a:r>
            <a:rPr lang="en-US" i="1"/>
            <a:t>Carlos Evans, Maria Santos, John Doe</a:t>
          </a:r>
          <a:r>
            <a:rPr lang="en-US"/>
            <a:t>.</a:t>
          </a:r>
        </a:p>
        <a:p>
          <a:r>
            <a:rPr lang="en-US"/>
            <a:t>Because </a:t>
          </a:r>
          <a:r>
            <a:rPr lang="en-US" sz="1100">
              <a:solidFill>
                <a:schemeClr val="dk1"/>
              </a:solidFill>
              <a:latin typeface="+mn-lt"/>
              <a:ea typeface="+mn-ea"/>
              <a:cs typeface="+mn-cs"/>
            </a:rPr>
            <a:t>SN-1150</a:t>
          </a:r>
          <a:r>
            <a:rPr lang="en-US"/>
            <a:t> looks absolutely nothing like those names, a correct exact search should immediately fail and give you a </a:t>
          </a:r>
          <a:r>
            <a:rPr lang="en-US" sz="1100">
              <a:solidFill>
                <a:schemeClr val="dk1"/>
              </a:solidFill>
              <a:latin typeface="+mn-lt"/>
              <a:ea typeface="+mn-ea"/>
              <a:cs typeface="+mn-cs"/>
            </a:rPr>
            <a:t>#N/A</a:t>
          </a:r>
          <a:r>
            <a:rPr lang="en-US"/>
            <a:t> error. But it doesn't, because of Error 2.</a:t>
          </a:r>
        </a:p>
        <a:p>
          <a:endParaRPr lang="en-US"/>
        </a:p>
        <a:p>
          <a:r>
            <a:rPr lang="en-US" b="1"/>
            <a:t>Error 2: The Approximate Match Trap (The True Culprit)</a:t>
          </a:r>
        </a:p>
        <a:p>
          <a:r>
            <a:rPr lang="en-US"/>
            <a:t>Because we left out the 4th argument in your VLOOKUP formula, Excel defaults to </a:t>
          </a:r>
          <a:r>
            <a:rPr lang="en-US" sz="1100" b="1">
              <a:solidFill>
                <a:schemeClr val="dk1"/>
              </a:solidFill>
              <a:latin typeface="+mn-lt"/>
              <a:ea typeface="+mn-ea"/>
              <a:cs typeface="+mn-cs"/>
            </a:rPr>
            <a:t>TRUE</a:t>
          </a:r>
          <a:r>
            <a:rPr lang="en-US" b="1"/>
            <a:t> (Approximate Match)</a:t>
          </a:r>
          <a:r>
            <a:rPr lang="en-US"/>
            <a:t>.</a:t>
          </a:r>
        </a:p>
        <a:p>
          <a:endParaRPr lang="en-US"/>
        </a:p>
        <a:p>
          <a:r>
            <a:rPr lang="en-US"/>
            <a:t>When VLOOKUP uses Approximate Match on data that is </a:t>
          </a:r>
          <a:r>
            <a:rPr lang="en-US" b="1"/>
            <a:t>not sorted alphabetically</a:t>
          </a:r>
          <a:r>
            <a:rPr lang="en-US"/>
            <a:t>, its internal binary search algorithm completely loses its bearings.</a:t>
          </a:r>
        </a:p>
        <a:p>
          <a:r>
            <a:rPr lang="en-US"/>
            <a:t>It looks down Column A, gets confused by the text values, and misses completely.</a:t>
          </a:r>
        </a:p>
        <a:p>
          <a:endParaRPr lang="en-US"/>
        </a:p>
        <a:p>
          <a:r>
            <a:rPr lang="en-US"/>
            <a:t>Under Approximate Match rules, when Excel gets lost or reaches the end of an unsorted list without finding a clear mathematical boundary, it defaults to dropping back to the </a:t>
          </a:r>
          <a:r>
            <a:rPr lang="en-US" b="1"/>
            <a:t>very last row it evaluated</a:t>
          </a:r>
          <a:r>
            <a:rPr lang="en-US"/>
            <a:t> before giving up.</a:t>
          </a:r>
        </a:p>
        <a:p>
          <a:r>
            <a:rPr lang="en-US"/>
            <a:t>The last row in your range is Row 4: </a:t>
          </a:r>
          <a:r>
            <a:rPr lang="en-US" b="1"/>
            <a:t>John Doe</a:t>
          </a:r>
          <a:r>
            <a:rPr lang="en-US"/>
            <a:t>.</a:t>
          </a:r>
        </a:p>
        <a:p>
          <a:endParaRPr lang="en-US"/>
        </a:p>
        <a:p>
          <a:r>
            <a:rPr lang="en-US"/>
            <a:t>Because your 3rd argument is </a:t>
          </a:r>
          <a:r>
            <a:rPr lang="en-US" sz="1100">
              <a:solidFill>
                <a:schemeClr val="dk1"/>
              </a:solidFill>
              <a:latin typeface="+mn-lt"/>
              <a:ea typeface="+mn-ea"/>
              <a:cs typeface="+mn-cs"/>
            </a:rPr>
            <a:t>1</a:t>
          </a:r>
          <a:r>
            <a:rPr lang="en-US"/>
            <a:t>, Excel goes to the 1st column of that final row and confidently hands you </a:t>
          </a:r>
          <a:r>
            <a:rPr lang="en-US" b="1"/>
            <a:t>John Doe</a:t>
          </a:r>
          <a:r>
            <a:rPr lang="en-US"/>
            <a:t>.</a:t>
          </a:r>
        </a:p>
        <a:p>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47E35-01CC-4CA3-B422-D7BD48FF328C}">
  <dimension ref="N2:Q9"/>
  <sheetViews>
    <sheetView topLeftCell="J31" zoomScale="120" workbookViewId="0">
      <selection activeCell="Q6" sqref="Q6"/>
    </sheetView>
  </sheetViews>
  <sheetFormatPr defaultRowHeight="14.5"/>
  <cols>
    <col min="14" max="14" width="16.81640625" customWidth="1"/>
    <col min="15" max="15" width="18.90625" customWidth="1"/>
    <col min="16" max="16" width="21.90625" customWidth="1"/>
    <col min="17" max="17" width="20.6328125" customWidth="1"/>
  </cols>
  <sheetData>
    <row r="2" spans="14:17">
      <c r="N2" s="1" t="s">
        <v>25</v>
      </c>
    </row>
    <row r="3" spans="14:17">
      <c r="N3" s="6" t="s">
        <v>0</v>
      </c>
      <c r="O3" s="6" t="s">
        <v>1</v>
      </c>
      <c r="P3" s="6" t="s">
        <v>2</v>
      </c>
      <c r="Q3" s="6" t="s">
        <v>3</v>
      </c>
    </row>
    <row r="4" spans="14:17" ht="28">
      <c r="N4" s="2" t="s">
        <v>4</v>
      </c>
      <c r="O4" s="4" t="s">
        <v>5</v>
      </c>
      <c r="P4" s="4" t="s">
        <v>6</v>
      </c>
      <c r="Q4" s="5" t="s">
        <v>7</v>
      </c>
    </row>
    <row r="5" spans="14:17" ht="28">
      <c r="N5" s="2" t="s">
        <v>8</v>
      </c>
      <c r="O5" s="4" t="s">
        <v>9</v>
      </c>
      <c r="P5" s="2" t="s">
        <v>10</v>
      </c>
      <c r="Q5" s="3" t="s">
        <v>10</v>
      </c>
    </row>
    <row r="6" spans="14:17" ht="56">
      <c r="N6" s="2" t="s">
        <v>11</v>
      </c>
      <c r="O6" s="2" t="s">
        <v>12</v>
      </c>
      <c r="P6" s="2" t="s">
        <v>13</v>
      </c>
      <c r="Q6" s="3" t="s">
        <v>14</v>
      </c>
    </row>
    <row r="7" spans="14:17" ht="42">
      <c r="N7" s="2" t="s">
        <v>15</v>
      </c>
      <c r="O7" s="4" t="s">
        <v>16</v>
      </c>
      <c r="P7" s="4" t="s">
        <v>17</v>
      </c>
      <c r="Q7" s="5" t="s">
        <v>17</v>
      </c>
    </row>
    <row r="8" spans="14:17" ht="56">
      <c r="N8" s="2" t="s">
        <v>18</v>
      </c>
      <c r="O8" s="4" t="s">
        <v>19</v>
      </c>
      <c r="P8" s="4" t="s">
        <v>20</v>
      </c>
      <c r="Q8" s="5" t="s">
        <v>21</v>
      </c>
    </row>
    <row r="9" spans="14:17" ht="42">
      <c r="N9" s="2" t="s">
        <v>22</v>
      </c>
      <c r="O9" s="4" t="s">
        <v>23</v>
      </c>
      <c r="P9" s="4" t="s">
        <v>23</v>
      </c>
      <c r="Q9" s="5" t="s">
        <v>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E53BD-C599-4953-B76F-8E1B3C7A5BCE}">
  <dimension ref="A1:H21"/>
  <sheetViews>
    <sheetView zoomScale="109" workbookViewId="0">
      <selection activeCell="H19" sqref="H19"/>
    </sheetView>
  </sheetViews>
  <sheetFormatPr defaultRowHeight="14.5"/>
  <cols>
    <col min="1" max="1" width="13.54296875" customWidth="1"/>
    <col min="2" max="2" width="20.90625" customWidth="1"/>
    <col min="3" max="3" width="11.90625" customWidth="1"/>
    <col min="4" max="4" width="11" customWidth="1"/>
    <col min="7" max="7" width="34.54296875" customWidth="1"/>
    <col min="8" max="8" width="30.1796875" customWidth="1"/>
  </cols>
  <sheetData>
    <row r="1" spans="1:8" ht="23.5">
      <c r="A1" s="7" t="s">
        <v>49</v>
      </c>
    </row>
    <row r="3" spans="1:8">
      <c r="A3" s="8" t="s">
        <v>26</v>
      </c>
    </row>
    <row r="5" spans="1:8">
      <c r="A5" s="6" t="s">
        <v>38</v>
      </c>
      <c r="B5" s="6" t="s">
        <v>39</v>
      </c>
      <c r="C5" s="6" t="s">
        <v>40</v>
      </c>
      <c r="D5" s="6" t="s">
        <v>41</v>
      </c>
      <c r="G5" s="8" t="s">
        <v>43</v>
      </c>
    </row>
    <row r="6" spans="1:8">
      <c r="A6" s="9" t="s">
        <v>27</v>
      </c>
      <c r="B6" s="9" t="s">
        <v>28</v>
      </c>
      <c r="C6" s="9" t="s">
        <v>29</v>
      </c>
      <c r="D6" s="10">
        <v>1200</v>
      </c>
      <c r="F6" s="13" t="s">
        <v>44</v>
      </c>
      <c r="G6">
        <f>VLOOKUP(A11, A6:D9, 4, FALSE)</f>
        <v>800</v>
      </c>
      <c r="H6" t="str">
        <f ca="1">+_xlfn.FORMULATEXT(G6)</f>
        <v>=VLOOKUP(A11, A6:D9, 4, FALSE)</v>
      </c>
    </row>
    <row r="7" spans="1:8">
      <c r="A7" s="9" t="s">
        <v>30</v>
      </c>
      <c r="B7" s="9" t="s">
        <v>31</v>
      </c>
      <c r="C7" s="9" t="s">
        <v>29</v>
      </c>
      <c r="D7" s="10">
        <v>800</v>
      </c>
      <c r="H7">
        <f>VLOOKUP(A11,A6:D9, 4, FALSE)</f>
        <v>800</v>
      </c>
    </row>
    <row r="8" spans="1:8">
      <c r="A8" s="9" t="s">
        <v>32</v>
      </c>
      <c r="B8" s="9" t="s">
        <v>33</v>
      </c>
      <c r="C8" s="9" t="s">
        <v>34</v>
      </c>
      <c r="D8" s="10">
        <v>350</v>
      </c>
      <c r="H8">
        <f>VLOOKUP(A11,A6:D9,4)</f>
        <v>800</v>
      </c>
    </row>
    <row r="9" spans="1:8">
      <c r="A9" s="9" t="s">
        <v>35</v>
      </c>
      <c r="B9" s="9" t="s">
        <v>36</v>
      </c>
      <c r="C9" s="9" t="s">
        <v>37</v>
      </c>
      <c r="D9" s="10">
        <v>80</v>
      </c>
      <c r="G9" s="8" t="s">
        <v>45</v>
      </c>
    </row>
    <row r="10" spans="1:8">
      <c r="F10" s="14" t="s">
        <v>44</v>
      </c>
      <c r="G10">
        <f>INDEX(D6:D9, MATCH(A11, A6:A9, 0))</f>
        <v>800</v>
      </c>
      <c r="H10" t="str">
        <f ca="1">+_xlfn.FORMULATEXT(G10)</f>
        <v>=INDEX(D6:D9, MATCH(A11, A6:A9, 0))</v>
      </c>
    </row>
    <row r="11" spans="1:8">
      <c r="A11" s="12" t="s">
        <v>30</v>
      </c>
      <c r="B11" s="11" t="s">
        <v>42</v>
      </c>
    </row>
    <row r="12" spans="1:8">
      <c r="G12">
        <f>MATCH(A11,A6:A9, 0)</f>
        <v>2</v>
      </c>
      <c r="H12" t="str">
        <f ca="1">+_xlfn.FORMULATEXT(G12)</f>
        <v>=MATCH(A11,A6:A9, 0)</v>
      </c>
    </row>
    <row r="13" spans="1:8">
      <c r="G13">
        <f>INDEX(D6:D9,2)</f>
        <v>800</v>
      </c>
      <c r="H13" t="str">
        <f ca="1">+_xlfn.FORMULATEXT(G13)</f>
        <v>=INDEX(D6:D9,2)</v>
      </c>
    </row>
    <row r="14" spans="1:8">
      <c r="H14">
        <f>MATCH(A11,A6:A9,0)</f>
        <v>2</v>
      </c>
    </row>
    <row r="15" spans="1:8">
      <c r="H15" cm="1">
        <f t="array" ref="H15">INDEX(D6:D9,H14)</f>
        <v>800</v>
      </c>
    </row>
    <row r="16" spans="1:8">
      <c r="G16" s="8" t="s">
        <v>46</v>
      </c>
    </row>
    <row r="17" spans="6:8">
      <c r="F17" s="14" t="s">
        <v>44</v>
      </c>
      <c r="G17">
        <f>_xlfn.XLOOKUP(A11, A6:A9, D6:D9)</f>
        <v>800</v>
      </c>
      <c r="H17" t="str">
        <f ca="1">+_xlfn.FORMULATEXT(G17)</f>
        <v>=XLOOKUP(A11, A6:A9, D6:D9)</v>
      </c>
    </row>
    <row r="18" spans="6:8">
      <c r="H18">
        <f>_xlfn.XLOOKUP(A11,A6:A9,D6:D9)</f>
        <v>800</v>
      </c>
    </row>
    <row r="20" spans="6:8">
      <c r="G20" s="8" t="s">
        <v>48</v>
      </c>
    </row>
    <row r="21" spans="6:8">
      <c r="G21"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BF716-6882-46EE-ADD2-64AA7C7F3F2B}">
  <dimension ref="A1:G17"/>
  <sheetViews>
    <sheetView tabSelected="1" workbookViewId="0">
      <selection activeCell="A6" sqref="A6"/>
    </sheetView>
  </sheetViews>
  <sheetFormatPr defaultRowHeight="14.5"/>
  <cols>
    <col min="1" max="1" width="15.90625" customWidth="1"/>
    <col min="2" max="2" width="17" customWidth="1"/>
    <col min="3" max="3" width="17.90625" customWidth="1"/>
    <col min="6" max="6" width="11.90625" customWidth="1"/>
  </cols>
  <sheetData>
    <row r="1" spans="1:7" ht="23.5">
      <c r="A1" s="7" t="s">
        <v>50</v>
      </c>
    </row>
    <row r="3" spans="1:7">
      <c r="A3" s="8" t="s">
        <v>51</v>
      </c>
    </row>
    <row r="5" spans="1:7">
      <c r="A5" s="6" t="s">
        <v>60</v>
      </c>
      <c r="B5" s="6" t="s">
        <v>61</v>
      </c>
      <c r="C5" s="6" t="s">
        <v>62</v>
      </c>
      <c r="F5" s="8" t="s">
        <v>64</v>
      </c>
    </row>
    <row r="6" spans="1:7">
      <c r="A6" s="9" t="s">
        <v>69</v>
      </c>
      <c r="B6" s="9" t="s">
        <v>52</v>
      </c>
      <c r="C6" s="5" t="s">
        <v>53</v>
      </c>
      <c r="F6" s="8" t="s">
        <v>65</v>
      </c>
    </row>
    <row r="7" spans="1:7">
      <c r="A7" s="9" t="s">
        <v>54</v>
      </c>
      <c r="B7" s="9" t="s">
        <v>55</v>
      </c>
      <c r="C7" s="5" t="s">
        <v>56</v>
      </c>
      <c r="F7" t="s">
        <v>66</v>
      </c>
    </row>
    <row r="8" spans="1:7">
      <c r="A8" s="9" t="s">
        <v>57</v>
      </c>
      <c r="B8" s="9" t="s">
        <v>58</v>
      </c>
      <c r="C8" s="5" t="s">
        <v>59</v>
      </c>
      <c r="F8" t="str">
        <f>VLOOKUP(A10, A6:D8, 1, TRUE)</f>
        <v>John Doe</v>
      </c>
      <c r="G8" t="str">
        <f ca="1">_xlfn.FORMULATEXT(F8)</f>
        <v>=VLOOKUP(A10, A6:D8, 1, TRUE)</v>
      </c>
    </row>
    <row r="9" spans="1:7">
      <c r="F9" t="e">
        <f>VLOOKUP(A10, A6:D8, 1, FALSE)</f>
        <v>#N/A</v>
      </c>
      <c r="G9" t="str">
        <f ca="1">_xlfn.FORMULATEXT(F9)</f>
        <v>=VLOOKUP(A10, A6:D8, 1, FALSE)</v>
      </c>
    </row>
    <row r="10" spans="1:7">
      <c r="A10" s="12" t="s">
        <v>55</v>
      </c>
      <c r="B10" t="s">
        <v>63</v>
      </c>
    </row>
    <row r="12" spans="1:7">
      <c r="F12" s="8" t="s">
        <v>67</v>
      </c>
    </row>
    <row r="13" spans="1:7">
      <c r="F13" t="str">
        <f>INDEX(A6:A8,MATCH(A10,B6:B8))</f>
        <v>Maria Santos</v>
      </c>
      <c r="G13" t="str">
        <f ca="1">_xlfn.FORMULATEXT(F13)</f>
        <v>=INDEX(A6:A8,MATCH(A10,B6:B8))</v>
      </c>
    </row>
    <row r="14" spans="1:7">
      <c r="A14" t="str">
        <f ca="1">+_xlfn.FORMULATEXT(A15)</f>
        <v>=XLOOKUP(A10, B6:B8, A6:C8)</v>
      </c>
    </row>
    <row r="15" spans="1:7">
      <c r="A15" t="str" cm="1">
        <f t="array" ref="A15:C15">_xlfn.XLOOKUP(A10, B6:B8, A6:C8)</f>
        <v>Maria Santos</v>
      </c>
      <c r="B15" t="str">
        <v>SN-1150</v>
      </c>
      <c r="C15" t="str">
        <v>Operations</v>
      </c>
    </row>
    <row r="16" spans="1:7">
      <c r="F16" s="8" t="s">
        <v>68</v>
      </c>
    </row>
    <row r="17" spans="6:7">
      <c r="F17" t="str">
        <f>_xlfn.XLOOKUP(A10, B6:B8, A6:A8, "Employee Not Found")</f>
        <v>Maria Santos</v>
      </c>
      <c r="G17" t="str">
        <f ca="1">_xlfn.FORMULATEXT(F17)</f>
        <v>=XLOOKUP(A10, B6:B8, A6:A8, "Employee Not Found")</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Background</vt:lpstr>
      <vt:lpstr>Ex1</vt:lpstr>
      <vt:lpstr>Ex2</vt:lpstr>
    </vt:vector>
  </TitlesOfParts>
  <Company>Naval Postgraduate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Mendieta Flores</dc:creator>
  <cp:lastModifiedBy>Isabel Tavares</cp:lastModifiedBy>
  <dcterms:created xsi:type="dcterms:W3CDTF">2026-05-18T18:32:14Z</dcterms:created>
  <dcterms:modified xsi:type="dcterms:W3CDTF">2026-05-23T23:36:18Z</dcterms:modified>
</cp:coreProperties>
</file>