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defaultThemeVersion="166925"/>
  <xr:revisionPtr revIDLastSave="63" documentId="8_{7C290DC9-4085-40B7-917B-5D6C5174E8B0}" xr6:coauthVersionLast="47" xr6:coauthVersionMax="47" xr10:uidLastSave="{C34AC629-2306-444E-8A45-2F7F3999CBCF}"/>
  <bookViews>
    <workbookView xWindow="-110" yWindow="-110" windowWidth="23260" windowHeight="14860" tabRatio="927" firstSheet="4" activeTab="7"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2" i="9" l="1"/>
  <c r="D22" i="9"/>
  <c r="D10" i="13"/>
  <c r="D9" i="13"/>
  <c r="D36" i="10"/>
  <c r="D7" i="11"/>
  <c r="G7" i="11"/>
  <c r="D15" i="11"/>
  <c r="J43" i="19"/>
  <c r="G15" i="1"/>
  <c r="D7" i="1"/>
  <c r="F7" i="19"/>
  <c r="F6" i="19"/>
  <c r="F5" i="19"/>
  <c r="F4" i="19"/>
  <c r="F3" i="19"/>
  <c r="D28" i="10"/>
  <c r="D6" i="10"/>
  <c r="D8" i="10" s="1"/>
  <c r="A38" i="7"/>
  <c r="E106" i="7"/>
  <c r="D10" i="20"/>
  <c r="G51" i="16"/>
  <c r="D12" i="13"/>
  <c r="D7" i="16"/>
  <c r="G7" i="19"/>
  <c r="D36" i="21"/>
  <c r="D9" i="21"/>
  <c r="F35" i="13"/>
  <c r="G6" i="19"/>
  <c r="G5" i="19"/>
  <c r="G4" i="19"/>
  <c r="G3" i="19"/>
  <c r="G43" i="9"/>
  <c r="D43" i="9"/>
  <c r="F3" i="15"/>
  <c r="E3" i="15"/>
  <c r="H64" i="7"/>
  <c r="D64" i="7"/>
  <c r="D123" i="7"/>
  <c r="D51" i="16"/>
  <c r="F29" i="13"/>
  <c r="F28" i="13"/>
  <c r="F31" i="13" s="1"/>
  <c r="F33" i="13" s="1"/>
  <c r="F37" i="13" s="1"/>
  <c r="G15" i="11"/>
  <c r="D39" i="16"/>
  <c r="D29" i="15"/>
  <c r="C37" i="15" s="1"/>
  <c r="D28" i="15"/>
  <c r="C36" i="15" s="1"/>
  <c r="E31" i="13"/>
  <c r="D11" i="10" l="1"/>
  <c r="F6" i="10"/>
  <c r="C33" i="15"/>
  <c r="C32" i="15"/>
</calcChain>
</file>

<file path=xl/sharedStrings.xml><?xml version="1.0" encoding="utf-8"?>
<sst xmlns="http://schemas.openxmlformats.org/spreadsheetml/2006/main" count="647" uniqueCount="317">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</sst>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164" formatCode="mm/dd/yy;@"/>
    <numFmt numFmtId="165" formatCode="[$-409]h:mm\ AM/PM;@"/>
    <numFmt numFmtId="166" formatCode="[$-409]h:mm:ss\ AM/PM;@"/>
  </numFmts>
  <fonts count="37"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5" fillId="0" borderId="0" applyFill="0" applyBorder="0">
      <alignment wrapText="1"/>
    </xf>
    <xf numFmtId="0" fontId="6"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5" fillId="2" borderId="0" applyNumberFormat="0" applyProtection="0">
      <alignment horizontal="left" wrapText="1" indent="4"/>
    </xf>
    <xf numFmtId="0" fontId="9" fillId="0" borderId="0"/>
    <xf numFmtId="0" fontId="9" fillId="3" borderId="0" applyNumberFormat="0" applyBorder="0" applyProtection="0"/>
    <xf numFmtId="0" fontId="6" fillId="4" borderId="0"/>
    <xf numFmtId="0" fontId="6" fillId="5" borderId="1"/>
    <xf numFmtId="0" fontId="6" fillId="4" borderId="2"/>
    <xf numFmtId="0" fontId="4" fillId="0" borderId="0"/>
    <xf numFmtId="0" fontId="4" fillId="4" borderId="0"/>
    <xf numFmtId="0" fontId="4" fillId="5" borderId="1"/>
    <xf numFmtId="0" fontId="4" fillId="4" borderId="2"/>
    <xf numFmtId="0" fontId="3" fillId="0" borderId="0"/>
    <xf numFmtId="0" fontId="24" fillId="0" borderId="0" applyNumberFormat="0" applyFill="0" applyBorder="0" applyAlignment="0" applyProtection="0"/>
    <xf numFmtId="0" fontId="2" fillId="4" borderId="0"/>
    <xf numFmtId="0" fontId="2" fillId="5" borderId="1"/>
    <xf numFmtId="0" fontId="2" fillId="4" borderId="2"/>
  </cellStyleXfs>
  <cellXfs count="135">
    <xf numFmtId="0" fontId="0" fillId="0" borderId="0" xfId="0"/>
    <xf numFmtId="0" fontId="6" fillId="0" borderId="0" xfId="2"/>
    <xf numFmtId="0" fontId="8" fillId="2" borderId="0" xfId="4">
      <alignment horizontal="left" wrapText="1" indent="4"/>
    </xf>
    <xf numFmtId="0" fontId="5" fillId="2" borderId="0" xfId="5">
      <alignment horizontal="left" wrapText="1" indent="4"/>
    </xf>
    <xf numFmtId="0" fontId="6" fillId="0" borderId="0" xfId="2" applyAlignment="1">
      <alignment horizontal="left"/>
    </xf>
    <xf numFmtId="0" fontId="10" fillId="0" borderId="0" xfId="0" applyFont="1"/>
    <xf numFmtId="0" fontId="10" fillId="0" borderId="0" xfId="0" applyFont="1" applyAlignment="1">
      <alignment horizontal="left" indent="1"/>
    </xf>
    <xf numFmtId="0" fontId="9" fillId="3" borderId="0" xfId="7"/>
    <xf numFmtId="0" fontId="9" fillId="3" borderId="0" xfId="7" applyAlignment="1">
      <alignment horizontal="right"/>
    </xf>
    <xf numFmtId="0" fontId="9" fillId="0" borderId="0" xfId="6"/>
    <xf numFmtId="0" fontId="11" fillId="0" borderId="0" xfId="2" applyFont="1" applyAlignment="1">
      <alignment horizontal="left"/>
    </xf>
    <xf numFmtId="0" fontId="9" fillId="3" borderId="0" xfId="7" applyAlignment="1">
      <alignment horizontal="left"/>
    </xf>
    <xf numFmtId="14" fontId="0" fillId="0" borderId="0" xfId="0" applyNumberFormat="1"/>
    <xf numFmtId="0" fontId="4" fillId="4" borderId="0" xfId="12"/>
    <xf numFmtId="0" fontId="12" fillId="0" borderId="0" xfId="2" applyFont="1"/>
    <xf numFmtId="0" fontId="12" fillId="0" borderId="0" xfId="2" applyFont="1" applyAlignment="1">
      <alignment wrapText="1"/>
    </xf>
    <xf numFmtId="0" fontId="12" fillId="0" borderId="0" xfId="0" applyFont="1"/>
    <xf numFmtId="0" fontId="12" fillId="0" borderId="0" xfId="2" applyFont="1" applyAlignment="1">
      <alignment horizontal="left"/>
    </xf>
    <xf numFmtId="0" fontId="12" fillId="0" borderId="0" xfId="6" applyFont="1"/>
    <xf numFmtId="0" fontId="13" fillId="0" borderId="0" xfId="0" applyFont="1"/>
    <xf numFmtId="0" fontId="14" fillId="0" borderId="0" xfId="2" applyFont="1"/>
    <xf numFmtId="0" fontId="16" fillId="0" borderId="0" xfId="0" applyFont="1"/>
    <xf numFmtId="0" fontId="14" fillId="0" borderId="0" xfId="2" applyFont="1" applyAlignment="1">
      <alignment horizontal="left"/>
    </xf>
    <xf numFmtId="0" fontId="17" fillId="0" borderId="0" xfId="0" applyFont="1"/>
    <xf numFmtId="0" fontId="15" fillId="0" borderId="0" xfId="6" applyFont="1"/>
    <xf numFmtId="0" fontId="11" fillId="0" borderId="0" xfId="2" applyFont="1" applyAlignment="1">
      <alignment horizontal="right"/>
    </xf>
    <xf numFmtId="0" fontId="9" fillId="0" borderId="0" xfId="2" applyFont="1" applyAlignment="1">
      <alignment horizontal="left"/>
    </xf>
    <xf numFmtId="0" fontId="19" fillId="0" borderId="0" xfId="2" applyFont="1" applyAlignment="1">
      <alignment horizontal="left"/>
    </xf>
    <xf numFmtId="0" fontId="20" fillId="0" borderId="0" xfId="0" applyFont="1"/>
    <xf numFmtId="0" fontId="18" fillId="0" borderId="0" xfId="0" applyFont="1"/>
    <xf numFmtId="0" fontId="18" fillId="0" borderId="0" xfId="0" quotePrefix="1" applyFont="1"/>
    <xf numFmtId="0" fontId="18" fillId="0" borderId="0" xfId="0" applyFont="1" applyAlignment="1">
      <alignment wrapText="1"/>
    </xf>
    <xf numFmtId="0" fontId="21" fillId="3" borderId="0" xfId="7" applyFont="1" applyAlignment="1">
      <alignment horizontal="centerContinuous"/>
    </xf>
    <xf numFmtId="0" fontId="21" fillId="3" borderId="0" xfId="7" applyFont="1" applyAlignment="1">
      <alignment horizontal="left"/>
    </xf>
    <xf numFmtId="0" fontId="21" fillId="3" borderId="0" xfId="7" applyFont="1" applyAlignment="1">
      <alignment horizontal="right"/>
    </xf>
    <xf numFmtId="0" fontId="21"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6" fillId="5" borderId="1" xfId="9" applyNumberFormat="1" applyAlignment="1">
      <alignment vertical="center"/>
    </xf>
    <xf numFmtId="0" fontId="21" fillId="3" borderId="0" xfId="7" applyFont="1"/>
    <xf numFmtId="0" fontId="3" fillId="0" borderId="0" xfId="15"/>
    <xf numFmtId="0" fontId="22" fillId="0" borderId="0" xfId="15" applyFont="1"/>
    <xf numFmtId="0" fontId="23" fillId="0" borderId="0" xfId="15" applyFont="1"/>
    <xf numFmtId="0" fontId="23" fillId="0" borderId="0" xfId="15" applyFont="1" applyAlignment="1">
      <alignment vertical="center"/>
    </xf>
    <xf numFmtId="0" fontId="9" fillId="0" borderId="0" xfId="6" applyAlignment="1">
      <alignment wrapText="1"/>
    </xf>
    <xf numFmtId="0" fontId="3" fillId="0" borderId="0" xfId="2" applyFont="1"/>
    <xf numFmtId="0" fontId="3" fillId="0" borderId="0" xfId="2" applyFont="1" applyAlignment="1">
      <alignment horizontal="left"/>
    </xf>
    <xf numFmtId="0" fontId="3" fillId="0" borderId="0" xfId="2" applyFont="1" applyAlignment="1">
      <alignment horizontal="right"/>
    </xf>
    <xf numFmtId="0" fontId="3" fillId="4" borderId="0" xfId="8" applyFont="1"/>
    <xf numFmtId="0" fontId="3" fillId="4" borderId="0" xfId="8" applyFont="1" applyAlignment="1">
      <alignment horizontal="right"/>
    </xf>
    <xf numFmtId="0" fontId="3" fillId="5" borderId="1" xfId="9" applyFont="1" applyAlignment="1">
      <alignment horizontal="right"/>
    </xf>
    <xf numFmtId="0" fontId="10" fillId="0" borderId="0" xfId="0" applyFont="1" applyAlignment="1">
      <alignment horizontal="center"/>
    </xf>
    <xf numFmtId="0" fontId="3" fillId="0" borderId="0" xfId="2" applyFont="1" applyAlignment="1">
      <alignment horizontal="left" indent="1"/>
    </xf>
    <xf numFmtId="0" fontId="10" fillId="0" borderId="0" xfId="0" applyFont="1" applyAlignment="1">
      <alignment horizontal="left" indent="2"/>
    </xf>
    <xf numFmtId="0" fontId="3" fillId="4" borderId="2" xfId="10" applyFont="1"/>
    <xf numFmtId="0" fontId="3" fillId="5" borderId="1" xfId="9" applyFont="1" applyAlignment="1">
      <alignment horizontal="right" vertical="center"/>
    </xf>
    <xf numFmtId="0" fontId="3" fillId="0" borderId="0" xfId="2" applyFont="1" applyAlignment="1">
      <alignment horizontal="center"/>
    </xf>
    <xf numFmtId="0" fontId="3" fillId="0" borderId="0" xfId="2" quotePrefix="1" applyFont="1" applyAlignment="1">
      <alignment horizontal="left"/>
    </xf>
    <xf numFmtId="0" fontId="3" fillId="0" borderId="0" xfId="2" applyFont="1" applyAlignment="1">
      <alignment horizontal="left" indent="2"/>
    </xf>
    <xf numFmtId="0" fontId="3" fillId="0" borderId="0" xfId="11" applyFont="1" applyAlignment="1">
      <alignment horizontal="left" indent="1"/>
    </xf>
    <xf numFmtId="0" fontId="3" fillId="4" borderId="2" xfId="14" applyFont="1"/>
    <xf numFmtId="0" fontId="3" fillId="4" borderId="2" xfId="10" applyFont="1" applyAlignment="1">
      <alignment horizontal="center" vertical="center"/>
    </xf>
    <xf numFmtId="0" fontId="3" fillId="4" borderId="2" xfId="10" applyFont="1" applyAlignment="1">
      <alignment horizontal="left"/>
    </xf>
    <xf numFmtId="0" fontId="6" fillId="5" borderId="1" xfId="9"/>
    <xf numFmtId="0" fontId="0" fillId="0" borderId="3" xfId="0" applyBorder="1" applyAlignment="1">
      <alignment vertical="center"/>
    </xf>
    <xf numFmtId="8" fontId="0" fillId="0" borderId="3" xfId="0" applyNumberFormat="1" applyBorder="1" applyAlignment="1">
      <alignment vertical="center"/>
    </xf>
    <xf numFmtId="0" fontId="2" fillId="5" borderId="1" xfId="18"/>
    <xf numFmtId="0" fontId="25" fillId="0" borderId="0" xfId="0" applyFont="1"/>
    <xf numFmtId="0" fontId="2" fillId="4" borderId="0" xfId="17"/>
    <xf numFmtId="0" fontId="24" fillId="0" borderId="0" xfId="16"/>
    <xf numFmtId="0" fontId="26" fillId="2" borderId="0" xfId="3" applyFont="1">
      <alignment horizontal="left" indent="1"/>
    </xf>
    <xf numFmtId="0" fontId="21" fillId="3" borderId="4" xfId="7" applyFont="1" applyBorder="1" applyAlignment="1">
      <alignment horizontal="left" vertical="center"/>
    </xf>
    <xf numFmtId="0" fontId="21"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7" fillId="0" borderId="0" xfId="0" applyFont="1" applyAlignment="1">
      <alignment horizontal="centerContinuous" vertical="center"/>
    </xf>
    <xf numFmtId="0" fontId="17" fillId="0" borderId="0" xfId="0" applyFont="1" applyAlignment="1">
      <alignment horizontal="centerContinuous"/>
    </xf>
    <xf numFmtId="0" fontId="9" fillId="3" borderId="0" xfId="7" applyAlignment="1">
      <alignment horizontal="center" vertical="center"/>
    </xf>
    <xf numFmtId="0" fontId="28" fillId="0" borderId="0" xfId="6" applyFont="1"/>
    <xf numFmtId="0" fontId="29" fillId="0" borderId="0" xfId="11" applyFont="1"/>
    <xf numFmtId="0" fontId="30" fillId="0" borderId="0" xfId="0" applyFont="1" applyAlignment="1">
      <alignment horizontal="centerContinuous" vertical="center"/>
    </xf>
    <xf numFmtId="0" fontId="31" fillId="0" borderId="0" xfId="11" applyFont="1" applyAlignment="1">
      <alignment horizontal="centerContinuous"/>
    </xf>
    <xf numFmtId="0" fontId="31" fillId="0" borderId="0" xfId="11" applyFont="1"/>
    <xf numFmtId="0" fontId="28" fillId="3" borderId="0" xfId="7" applyFont="1"/>
    <xf numFmtId="0" fontId="28" fillId="3" borderId="0" xfId="7" applyFont="1" applyAlignment="1">
      <alignment horizontal="right"/>
    </xf>
    <xf numFmtId="0" fontId="32" fillId="0" borderId="0" xfId="11" applyFont="1"/>
    <xf numFmtId="0" fontId="31" fillId="0" borderId="0" xfId="11" applyFont="1" applyAlignment="1">
      <alignment horizontal="left"/>
    </xf>
    <xf numFmtId="0" fontId="32" fillId="0" borderId="0" xfId="11" applyFont="1" applyAlignment="1">
      <alignment horizontal="left"/>
    </xf>
    <xf numFmtId="0" fontId="33" fillId="0" borderId="0" xfId="0" applyFont="1"/>
    <xf numFmtId="0" fontId="34" fillId="0" borderId="0" xfId="0" applyFont="1"/>
    <xf numFmtId="0" fontId="31" fillId="4" borderId="2" xfId="14" applyFont="1"/>
    <xf numFmtId="0" fontId="31" fillId="5" borderId="1" xfId="13" applyFont="1" applyAlignment="1">
      <alignment horizontal="right"/>
    </xf>
    <xf numFmtId="0" fontId="3" fillId="0" borderId="0" xfId="2" applyFont="1" applyAlignment="1">
      <alignment horizontal="centerContinuous"/>
    </xf>
    <xf numFmtId="0" fontId="0" fillId="0" borderId="0" xfId="0" applyAlignment="1">
      <alignment horizontal="centerContinuous"/>
    </xf>
    <xf numFmtId="0" fontId="9" fillId="0" borderId="0" xfId="6" applyAlignment="1">
      <alignment horizontal="centerContinuous"/>
    </xf>
    <xf numFmtId="0" fontId="6" fillId="4" borderId="2" xfId="10"/>
    <xf numFmtId="0" fontId="2"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9" fillId="0" borderId="0" xfId="2" applyFont="1" applyAlignment="1">
      <alignment horizontal="left" wrapText="1"/>
    </xf>
    <xf numFmtId="0" fontId="12" fillId="0" borderId="0" xfId="0" applyFont="1" applyAlignment="1">
      <alignment wrapText="1"/>
    </xf>
    <xf numFmtId="0" fontId="12" fillId="0" borderId="0" xfId="2" applyFont="1" applyAlignment="1">
      <alignment horizontal="left" wrapText="1"/>
    </xf>
    <xf numFmtId="0" fontId="36" fillId="0" borderId="0" xfId="0" applyFont="1"/>
    <xf numFmtId="0" fontId="30" fillId="0" borderId="0" xfId="0" applyFont="1" applyAlignment="1">
      <alignment horizontal="center" vertical="center"/>
    </xf>
    <xf numFmtId="0" fontId="30"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5" borderId="5" xfId="18" applyBorder="1"/>
    <xf numFmtId="0" fontId="2" fillId="4" borderId="6" xfId="17" applyBorder="1" applyAlignment="1">
      <alignment horizontal="left"/>
    </xf>
    <xf numFmtId="0" fontId="6" fillId="4" borderId="6" xfId="8" applyBorder="1"/>
    <xf numFmtId="0" fontId="4" fillId="4" borderId="2" xfId="14"/>
    <xf numFmtId="0" fontId="31" fillId="5" borderId="7" xfId="13" applyFont="1" applyBorder="1"/>
    <xf numFmtId="0" fontId="31" fillId="4" borderId="6" xfId="12" applyFont="1" applyBorder="1"/>
    <xf numFmtId="0" fontId="31" fillId="4" borderId="8" xfId="12" applyFont="1" applyBorder="1"/>
    <xf numFmtId="0" fontId="4" fillId="5" borderId="10" xfId="13" applyBorder="1"/>
    <xf numFmtId="0" fontId="3" fillId="5" borderId="7" xfId="9" applyFont="1" applyBorder="1" applyAlignment="1">
      <alignment horizontal="right"/>
    </xf>
    <xf numFmtId="0" fontId="3" fillId="4" borderId="6" xfId="8" applyFont="1" applyBorder="1"/>
    <xf numFmtId="0" fontId="3" fillId="4" borderId="6" xfId="8" applyFont="1" applyBorder="1" applyAlignment="1">
      <alignment horizontal="right"/>
    </xf>
    <xf numFmtId="0" fontId="3" fillId="4" borderId="6" xfId="8" applyFont="1" applyBorder="1" applyAlignment="1">
      <alignment horizontal="left"/>
    </xf>
    <xf numFmtId="164" fontId="3" fillId="5" borderId="10" xfId="9" applyNumberFormat="1" applyFont="1" applyBorder="1" applyAlignment="1">
      <alignment horizontal="right"/>
    </xf>
    <xf numFmtId="0" fontId="6" fillId="4" borderId="11" xfId="10" applyBorder="1"/>
    <xf numFmtId="0" fontId="6" fillId="5" borderId="10" xfId="9" applyBorder="1"/>
    <xf numFmtId="164" fontId="6" fillId="4" borderId="11" xfId="10" applyNumberFormat="1" applyBorder="1"/>
    <xf numFmtId="166" fontId="3" fillId="5" borderId="10" xfId="9" applyNumberFormat="1" applyFont="1" applyBorder="1" applyAlignment="1">
      <alignment horizontal="right"/>
    </xf>
    <xf numFmtId="165" fontId="6" fillId="5" borderId="10" xfId="9" applyNumberFormat="1" applyBorder="1"/>
    <xf numFmtId="0" fontId="2" fillId="4" borderId="6" xfId="8" applyFont="1" applyBorder="1"/>
    <xf numFmtId="164" fontId="6" fillId="4" borderId="6" xfId="8" applyNumberFormat="1" applyBorder="1"/>
    <xf numFmtId="165" fontId="6" fillId="4" borderId="6" xfId="8" applyNumberFormat="1" applyBorder="1"/>
    <xf numFmtId="165" fontId="3" fillId="5" borderId="10" xfId="9" applyNumberFormat="1" applyFont="1" applyBorder="1" applyAlignment="1">
      <alignment horizontal="right"/>
    </xf>
    <xf numFmtId="0" fontId="6" fillId="4" borderId="1" xfId="8" applyBorder="1"/>
    <xf numFmtId="0" fontId="11" fillId="0" borderId="9" xfId="11" applyFont="1" applyBorder="1" applyAlignment="1">
      <alignment horizontal="left"/>
    </xf>
    <xf numFmtId="0" fontId="31" fillId="5" borderId="1" xfId="13" applyFont="1"/>
    <xf numFmtId="0" fontId="9" fillId="0" borderId="0" xfId="11" applyFont="1" applyAlignment="1">
      <alignment horizontal="left" wrapText="1"/>
    </xf>
    <xf numFmtId="0" fontId="1" fillId="5" borderId="1" xfId="9" applyFont="1" applyAlignment="1">
      <alignment horizontal="right" vertical="center"/>
    </xf>
    <xf numFmtId="0" fontId="1" fillId="4" borderId="1" xfId="8" applyFont="1" applyBorder="1"/>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66369" cy="4443156"/>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608471" y="1834944"/>
          <a:ext cx="2391081" cy="1125896"/>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0827261"/>
          <a:ext cx="5766369" cy="2685743"/>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407497"/>
          <a:ext cx="2803003" cy="365482"/>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781236"/>
          <a:ext cx="2830615" cy="37107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168744"/>
          <a:ext cx="2737660" cy="36548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549313"/>
          <a:ext cx="2982652" cy="371069"/>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2918022"/>
          <a:ext cx="2452664" cy="37107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71969" y="1315830"/>
          <a:ext cx="2690391" cy="1559287"/>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710888" y="5604089"/>
          <a:ext cx="3933440" cy="1863462"/>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5393389</xdr:colOff>
      <xdr:row>27</xdr:row>
      <xdr:rowOff>229899</xdr:rowOff>
    </xdr:from>
    <xdr:to>
      <xdr:col>3</xdr:col>
      <xdr:colOff>61913</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303027" y="5978237"/>
          <a:ext cx="171226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314820</xdr:colOff>
      <xdr:row>27</xdr:row>
      <xdr:rowOff>247328</xdr:rowOff>
    </xdr:from>
    <xdr:to>
      <xdr:col>2</xdr:col>
      <xdr:colOff>534004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95841" y="5944070"/>
          <a:ext cx="115991"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1</xdr:col>
      <xdr:colOff>5638057</xdr:colOff>
      <xdr:row>30</xdr:row>
      <xdr:rowOff>6379</xdr:rowOff>
    </xdr:from>
    <xdr:to>
      <xdr:col>2</xdr:col>
      <xdr:colOff>257487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759308" y="6233666"/>
          <a:ext cx="115991" cy="53921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5525673</xdr:colOff>
      <xdr:row>30</xdr:row>
      <xdr:rowOff>138490</xdr:rowOff>
    </xdr:from>
    <xdr:to>
      <xdr:col>2</xdr:col>
      <xdr:colOff>362142</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435311" y="6577390"/>
          <a:ext cx="756256"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538856</xdr:colOff>
      <xdr:row>30</xdr:row>
      <xdr:rowOff>6379</xdr:rowOff>
    </xdr:from>
    <xdr:to>
      <xdr:col>2</xdr:col>
      <xdr:colOff>1080733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81224" y="6232336"/>
          <a:ext cx="115991" cy="5418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426594</xdr:colOff>
      <xdr:row>30</xdr:row>
      <xdr:rowOff>138490</xdr:rowOff>
    </xdr:from>
    <xdr:to>
      <xdr:col>3</xdr:col>
      <xdr:colOff>61317</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256019" y="6577390"/>
          <a:ext cx="758673"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477269</xdr:colOff>
      <xdr:row>27</xdr:row>
      <xdr:rowOff>229899</xdr:rowOff>
    </xdr:from>
    <xdr:to>
      <xdr:col>5</xdr:col>
      <xdr:colOff>885825</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592569" y="5978237"/>
          <a:ext cx="169443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204616" y="7523316"/>
          <a:ext cx="4049236" cy="1575237"/>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204617" y="9315130"/>
          <a:ext cx="6564673" cy="2074722"/>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4698262"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76821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750050" y="10293346"/>
          <a:ext cx="37210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548170" y="6978650"/>
          <a:ext cx="335490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257173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382124" y="3457576"/>
          <a:ext cx="287654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6821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4054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9525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6897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372602" y="3438525"/>
          <a:ext cx="294004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730875" cy="238759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90151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93009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50427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538952" cy="35803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71182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601325" y="857250"/>
          <a:ext cx="26892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25278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25279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30359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730875" cy="207010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90151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3009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538952" cy="35803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435850" y="3581400"/>
          <a:ext cx="3413125" cy="184931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95250</xdr:colOff>
      <xdr:row>11</xdr:row>
      <xdr:rowOff>122568</xdr:rowOff>
    </xdr:from>
    <xdr:to>
      <xdr:col>5</xdr:col>
      <xdr:colOff>542925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769100" y="3049918"/>
          <a:ext cx="3717925" cy="143318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352425</xdr:rowOff>
    </xdr:from>
    <xdr:to>
      <xdr:col>1</xdr:col>
      <xdr:colOff>5229225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52425"/>
          <a:ext cx="5768975" cy="372427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123825</xdr:rowOff>
    </xdr:from>
    <xdr:to>
      <xdr:col>1</xdr:col>
      <xdr:colOff>5229225</xdr:colOff>
      <xdr:row>60</xdr:row>
      <xdr:rowOff>67767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62425"/>
          <a:ext cx="5768975" cy="789414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98059</xdr:rowOff>
    </xdr:from>
    <xdr:to>
      <xdr:col>5</xdr:col>
      <xdr:colOff>0</xdr:colOff>
      <xdr:row>57</xdr:row>
      <xdr:rowOff>28575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69050" y="10061209"/>
          <a:ext cx="3575050" cy="140371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161925</xdr:rowOff>
    </xdr:from>
    <xdr:to>
      <xdr:col>1</xdr:col>
      <xdr:colOff>5228463</xdr:colOff>
      <xdr:row>73</xdr:row>
      <xdr:rowOff>161925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150725"/>
          <a:ext cx="5768213" cy="239395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16594</xdr:rowOff>
    </xdr:from>
    <xdr:to>
      <xdr:col>1</xdr:col>
      <xdr:colOff>2590800</xdr:colOff>
      <xdr:row>66</xdr:row>
      <xdr:rowOff>1023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741994"/>
          <a:ext cx="2901519" cy="35272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51141</xdr:rowOff>
    </xdr:from>
    <xdr:to>
      <xdr:col>1</xdr:col>
      <xdr:colOff>2619375</xdr:colOff>
      <xdr:row>68</xdr:row>
      <xdr:rowOff>34530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144841"/>
          <a:ext cx="2930094" cy="35168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70</xdr:row>
      <xdr:rowOff>165403</xdr:rowOff>
    </xdr:from>
    <xdr:to>
      <xdr:col>1</xdr:col>
      <xdr:colOff>2240842</xdr:colOff>
      <xdr:row>72</xdr:row>
      <xdr:rowOff>148792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84540" y="13995703"/>
          <a:ext cx="2538952" cy="35168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68</xdr:row>
      <xdr:rowOff>90998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81456" y="13552998"/>
          <a:ext cx="2930094" cy="35168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50633</xdr:colOff>
      <xdr:row>6</xdr:row>
      <xdr:rowOff>120354</xdr:rowOff>
    </xdr:from>
    <xdr:to>
      <xdr:col>10</xdr:col>
      <xdr:colOff>354541</xdr:colOff>
      <xdr:row>13</xdr:row>
      <xdr:rowOff>120648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385133" y="2057104"/>
          <a:ext cx="3961508" cy="136554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79975"/>
          <a:ext cx="5768975" cy="437197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44</xdr:row>
      <xdr:rowOff>66675</xdr:rowOff>
    </xdr:from>
    <xdr:to>
      <xdr:col>1</xdr:col>
      <xdr:colOff>970370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3713211</xdr:colOff>
      <xdr:row>44</xdr:row>
      <xdr:rowOff>66675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35712" y="8251825"/>
          <a:ext cx="3707341" cy="165840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337674"/>
          <a:ext cx="5768213" cy="199707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890301"/>
          <a:ext cx="2920311" cy="34391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279817"/>
          <a:ext cx="2949073" cy="34391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0674667"/>
          <a:ext cx="2555366" cy="34391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68975" cy="443865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66675</xdr:rowOff>
    </xdr:from>
    <xdr:to>
      <xdr:col>6</xdr:col>
      <xdr:colOff>590549</xdr:colOff>
      <xdr:row>40</xdr:row>
      <xdr:rowOff>142876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864600" y="6721475"/>
          <a:ext cx="3340099" cy="136525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1950"/>
          <a:ext cx="5765556" cy="4414050"/>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581036</xdr:colOff>
      <xdr:row>21</xdr:row>
      <xdr:rowOff>57148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7091082" y="3152853"/>
          <a:ext cx="3782536" cy="1342317"/>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123825</xdr:rowOff>
    </xdr:from>
    <xdr:to>
      <xdr:col>4</xdr:col>
      <xdr:colOff>600075</xdr:colOff>
      <xdr:row>46</xdr:row>
      <xdr:rowOff>125248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56106" y="8267177"/>
          <a:ext cx="3929464" cy="908566"/>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956821" y="6401541"/>
          <a:ext cx="3464063" cy="1638036"/>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333375</xdr:colOff>
      <xdr:row>23</xdr:row>
      <xdr:rowOff>47624</xdr:rowOff>
    </xdr:from>
    <xdr:to>
      <xdr:col>1</xdr:col>
      <xdr:colOff>5219700</xdr:colOff>
      <xdr:row>53</xdr:row>
      <xdr:rowOff>2720</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3375" y="4848503"/>
          <a:ext cx="5765556" cy="5474712"/>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50</xdr:row>
      <xdr:rowOff>57150</xdr:rowOff>
    </xdr:from>
    <xdr:to>
      <xdr:col>1</xdr:col>
      <xdr:colOff>980459</xdr:colOff>
      <xdr:row>52</xdr:row>
      <xdr:rowOff>11599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3684072</xdr:colOff>
      <xdr:row>50</xdr:row>
      <xdr:rowOff>57150</xdr:rowOff>
    </xdr:from>
    <xdr:to>
      <xdr:col>1</xdr:col>
      <xdr:colOff>4959806</xdr:colOff>
      <xdr:row>52</xdr:row>
      <xdr:rowOff>11599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352425</xdr:colOff>
      <xdr:row>53</xdr:row>
      <xdr:rowOff>104775</xdr:rowOff>
    </xdr:from>
    <xdr:to>
      <xdr:col>1</xdr:col>
      <xdr:colOff>5237988</xdr:colOff>
      <xdr:row>66</xdr:row>
      <xdr:rowOff>19050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52425" y="10425270"/>
          <a:ext cx="5764794" cy="2272846"/>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56</xdr:row>
      <xdr:rowOff>73744</xdr:rowOff>
    </xdr:from>
    <xdr:to>
      <xdr:col>1</xdr:col>
      <xdr:colOff>2581275</xdr:colOff>
      <xdr:row>58</xdr:row>
      <xdr:rowOff>51823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62406" y="10938524"/>
          <a:ext cx="2898100" cy="340936"/>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58</xdr:row>
      <xdr:rowOff>67810</xdr:rowOff>
    </xdr:from>
    <xdr:to>
      <xdr:col>1</xdr:col>
      <xdr:colOff>2609850</xdr:colOff>
      <xdr:row>60</xdr:row>
      <xdr:rowOff>51199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62406" y="11295447"/>
          <a:ext cx="2926675" cy="346247"/>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62</xdr:row>
      <xdr:rowOff>98728</xdr:rowOff>
    </xdr:from>
    <xdr:to>
      <xdr:col>1</xdr:col>
      <xdr:colOff>2231317</xdr:colOff>
      <xdr:row>64</xdr:row>
      <xdr:rowOff>82117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62406" y="12052080"/>
          <a:ext cx="2548142" cy="346246"/>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60</xdr:row>
      <xdr:rowOff>67186</xdr:rowOff>
    </xdr:from>
    <xdr:to>
      <xdr:col>1</xdr:col>
      <xdr:colOff>2609850</xdr:colOff>
      <xdr:row>62</xdr:row>
      <xdr:rowOff>50575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62406" y="11657681"/>
          <a:ext cx="2926675" cy="346246"/>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409215</xdr:colOff>
      <xdr:row>59</xdr:row>
      <xdr:rowOff>133074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26455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26455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76821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90151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31109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55156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293009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511118"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6897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180947</xdr:rowOff>
    </xdr:from>
    <xdr:to>
      <xdr:col>1</xdr:col>
      <xdr:colOff>998945</xdr:colOff>
      <xdr:row>58</xdr:row>
      <xdr:rowOff>135396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3665586</xdr:colOff>
      <xdr:row>56</xdr:row>
      <xdr:rowOff>180947</xdr:rowOff>
    </xdr:from>
    <xdr:to>
      <xdr:col>1</xdr:col>
      <xdr:colOff>4940756</xdr:colOff>
      <xdr:row>58</xdr:row>
      <xdr:rowOff>135396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428626</xdr:colOff>
      <xdr:row>43</xdr:row>
      <xdr:rowOff>76208</xdr:rowOff>
    </xdr:from>
    <xdr:to>
      <xdr:col>9</xdr:col>
      <xdr:colOff>285751</xdr:colOff>
      <xdr:row>52</xdr:row>
      <xdr:rowOff>130186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8035926" y="8839208"/>
          <a:ext cx="4067175" cy="176847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82669"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570709" y="4829174"/>
          <a:ext cx="409372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47625</xdr:colOff>
      <xdr:row>75</xdr:row>
      <xdr:rowOff>38100</xdr:rowOff>
    </xdr:from>
    <xdr:to>
      <xdr:col>35</xdr:col>
      <xdr:colOff>400050</xdr:colOff>
      <xdr:row>84</xdr:row>
      <xdr:rowOff>172910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815175" y="14668500"/>
          <a:ext cx="3463925" cy="179216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352424</xdr:colOff>
      <xdr:row>131</xdr:row>
      <xdr:rowOff>28576</xdr:rowOff>
    </xdr:from>
    <xdr:to>
      <xdr:col>1</xdr:col>
      <xdr:colOff>5229224</xdr:colOff>
      <xdr:row>151</xdr:row>
      <xdr:rowOff>141741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52424" y="25079326"/>
          <a:ext cx="5759450" cy="379616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547701</xdr:colOff>
      <xdr:row>40</xdr:row>
      <xdr:rowOff>173567</xdr:rowOff>
    </xdr:from>
    <xdr:to>
      <xdr:col>1</xdr:col>
      <xdr:colOff>4948224</xdr:colOff>
      <xdr:row>40</xdr:row>
      <xdr:rowOff>173567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57150</xdr:rowOff>
    </xdr:from>
    <xdr:to>
      <xdr:col>1</xdr:col>
      <xdr:colOff>4953401</xdr:colOff>
      <xdr:row>9</xdr:row>
      <xdr:rowOff>81857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1650"/>
          <a:ext cx="5264551" cy="59620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41</xdr:row>
      <xdr:rowOff>125941</xdr:rowOff>
    </xdr:from>
    <xdr:to>
      <xdr:col>1</xdr:col>
      <xdr:colOff>4887529</xdr:colOff>
      <xdr:row>43</xdr:row>
      <xdr:rowOff>102540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957134</xdr:colOff>
      <xdr:row>148</xdr:row>
      <xdr:rowOff>11076</xdr:rowOff>
    </xdr:from>
    <xdr:to>
      <xdr:col>1</xdr:col>
      <xdr:colOff>3715357</xdr:colOff>
      <xdr:row>150</xdr:row>
      <xdr:rowOff>176739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2875440</xdr:colOff>
      <xdr:row>144</xdr:row>
      <xdr:rowOff>85458</xdr:rowOff>
    </xdr:from>
    <xdr:to>
      <xdr:col>1</xdr:col>
      <xdr:colOff>4743247</xdr:colOff>
      <xdr:row>146</xdr:row>
      <xdr:rowOff>14816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2410256</xdr:colOff>
      <xdr:row>144</xdr:row>
      <xdr:rowOff>13221</xdr:rowOff>
    </xdr:from>
    <xdr:to>
      <xdr:col>1</xdr:col>
      <xdr:colOff>2904988</xdr:colOff>
      <xdr:row>146</xdr:row>
      <xdr:rowOff>87053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2875441</xdr:colOff>
      <xdr:row>142</xdr:row>
      <xdr:rowOff>18655</xdr:rowOff>
    </xdr:from>
    <xdr:to>
      <xdr:col>1</xdr:col>
      <xdr:colOff>5145305</xdr:colOff>
      <xdr:row>143</xdr:row>
      <xdr:rowOff>145141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141</xdr:row>
      <xdr:rowOff>143546</xdr:rowOff>
    </xdr:from>
    <xdr:to>
      <xdr:col>1</xdr:col>
      <xdr:colOff>2904988</xdr:colOff>
      <xdr:row>144</xdr:row>
      <xdr:rowOff>20250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2875441</xdr:colOff>
      <xdr:row>139</xdr:row>
      <xdr:rowOff>156768</xdr:rowOff>
    </xdr:from>
    <xdr:to>
      <xdr:col>1</xdr:col>
      <xdr:colOff>5355907</xdr:colOff>
      <xdr:row>141</xdr:row>
      <xdr:rowOff>92754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139</xdr:row>
      <xdr:rowOff>91159</xdr:rowOff>
    </xdr:from>
    <xdr:to>
      <xdr:col>1</xdr:col>
      <xdr:colOff>2904988</xdr:colOff>
      <xdr:row>141</xdr:row>
      <xdr:rowOff>158363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103666</xdr:colOff>
      <xdr:row>139</xdr:row>
      <xdr:rowOff>156768</xdr:rowOff>
    </xdr:from>
    <xdr:to>
      <xdr:col>1</xdr:col>
      <xdr:colOff>2459685</xdr:colOff>
      <xdr:row>141</xdr:row>
      <xdr:rowOff>92754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139</xdr:row>
      <xdr:rowOff>88777</xdr:rowOff>
    </xdr:from>
    <xdr:to>
      <xdr:col>1</xdr:col>
      <xdr:colOff>133213</xdr:colOff>
      <xdr:row>141</xdr:row>
      <xdr:rowOff>155981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103665</xdr:colOff>
      <xdr:row>142</xdr:row>
      <xdr:rowOff>18655</xdr:rowOff>
    </xdr:from>
    <xdr:to>
      <xdr:col>1</xdr:col>
      <xdr:colOff>2258656</xdr:colOff>
      <xdr:row>143</xdr:row>
      <xdr:rowOff>145141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141</xdr:row>
      <xdr:rowOff>135211</xdr:rowOff>
    </xdr:from>
    <xdr:to>
      <xdr:col>1</xdr:col>
      <xdr:colOff>133213</xdr:colOff>
      <xdr:row>144</xdr:row>
      <xdr:rowOff>11915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2875441</xdr:colOff>
      <xdr:row>137</xdr:row>
      <xdr:rowOff>113905</xdr:rowOff>
    </xdr:from>
    <xdr:to>
      <xdr:col>1</xdr:col>
      <xdr:colOff>5212315</xdr:colOff>
      <xdr:row>139</xdr:row>
      <xdr:rowOff>49891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137</xdr:row>
      <xdr:rowOff>48296</xdr:rowOff>
    </xdr:from>
    <xdr:to>
      <xdr:col>1</xdr:col>
      <xdr:colOff>2904988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2875441</xdr:colOff>
      <xdr:row>135</xdr:row>
      <xdr:rowOff>61518</xdr:rowOff>
    </xdr:from>
    <xdr:to>
      <xdr:col>1</xdr:col>
      <xdr:colOff>5059150</xdr:colOff>
      <xdr:row>136</xdr:row>
      <xdr:rowOff>188004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134</xdr:row>
      <xdr:rowOff>186409</xdr:rowOff>
    </xdr:from>
    <xdr:to>
      <xdr:col>1</xdr:col>
      <xdr:colOff>2904988</xdr:colOff>
      <xdr:row>137</xdr:row>
      <xdr:rowOff>63113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103666</xdr:colOff>
      <xdr:row>135</xdr:row>
      <xdr:rowOff>61518</xdr:rowOff>
    </xdr:from>
    <xdr:to>
      <xdr:col>1</xdr:col>
      <xdr:colOff>2143784</xdr:colOff>
      <xdr:row>136</xdr:row>
      <xdr:rowOff>188004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134</xdr:row>
      <xdr:rowOff>186409</xdr:rowOff>
    </xdr:from>
    <xdr:to>
      <xdr:col>1</xdr:col>
      <xdr:colOff>133213</xdr:colOff>
      <xdr:row>137</xdr:row>
      <xdr:rowOff>63113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103666</xdr:colOff>
      <xdr:row>137</xdr:row>
      <xdr:rowOff>113905</xdr:rowOff>
    </xdr:from>
    <xdr:to>
      <xdr:col>1</xdr:col>
      <xdr:colOff>2316094</xdr:colOff>
      <xdr:row>139</xdr:row>
      <xdr:rowOff>49891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137</xdr:row>
      <xdr:rowOff>42343</xdr:rowOff>
    </xdr:from>
    <xdr:to>
      <xdr:col>1</xdr:col>
      <xdr:colOff>133213</xdr:colOff>
      <xdr:row>139</xdr:row>
      <xdr:rowOff>109547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103666</xdr:colOff>
      <xdr:row>144</xdr:row>
      <xdr:rowOff>56755</xdr:rowOff>
    </xdr:from>
    <xdr:to>
      <xdr:col>1</xdr:col>
      <xdr:colOff>2003842</xdr:colOff>
      <xdr:row>145</xdr:row>
      <xdr:rowOff>183241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486206</xdr:colOff>
      <xdr:row>143</xdr:row>
      <xdr:rowOff>181646</xdr:rowOff>
    </xdr:from>
    <xdr:to>
      <xdr:col>1</xdr:col>
      <xdr:colOff>133213</xdr:colOff>
      <xdr:row>146</xdr:row>
      <xdr:rowOff>58350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62807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64551" cy="59620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111</xdr:row>
      <xdr:rowOff>114299</xdr:rowOff>
    </xdr:from>
    <xdr:to>
      <xdr:col>1</xdr:col>
      <xdr:colOff>5238749</xdr:colOff>
      <xdr:row>131</xdr:row>
      <xdr:rowOff>49427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1949" y="21456649"/>
          <a:ext cx="5759450" cy="364352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329351" y="3964967"/>
          <a:ext cx="4348549"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82675"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673725" cy="267335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6916400"/>
          <a:ext cx="5768975" cy="447190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108</xdr:row>
      <xdr:rowOff>104775</xdr:rowOff>
    </xdr:from>
    <xdr:to>
      <xdr:col>1</xdr:col>
      <xdr:colOff>4950281</xdr:colOff>
      <xdr:row>110</xdr:row>
      <xdr:rowOff>59224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361950</xdr:colOff>
      <xdr:row>45</xdr:row>
      <xdr:rowOff>133351</xdr:rowOff>
    </xdr:from>
    <xdr:to>
      <xdr:col>1</xdr:col>
      <xdr:colOff>5248275</xdr:colOff>
      <xdr:row>86</xdr:row>
      <xdr:rowOff>171451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49</xdr:row>
      <xdr:rowOff>38100</xdr:rowOff>
    </xdr:from>
    <xdr:to>
      <xdr:col>1</xdr:col>
      <xdr:colOff>4948224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46</xdr:row>
      <xdr:rowOff>38100</xdr:rowOff>
    </xdr:from>
    <xdr:to>
      <xdr:col>1</xdr:col>
      <xdr:colOff>4951420</xdr:colOff>
      <xdr:row>48</xdr:row>
      <xdr:rowOff>142942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547701</xdr:colOff>
      <xdr:row>82</xdr:row>
      <xdr:rowOff>87842</xdr:rowOff>
    </xdr:from>
    <xdr:to>
      <xdr:col>1</xdr:col>
      <xdr:colOff>4948224</xdr:colOff>
      <xdr:row>82</xdr:row>
      <xdr:rowOff>87842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49</xdr:row>
      <xdr:rowOff>38100</xdr:rowOff>
    </xdr:from>
    <xdr:to>
      <xdr:col>1</xdr:col>
      <xdr:colOff>5015188</xdr:colOff>
      <xdr:row>50</xdr:row>
      <xdr:rowOff>88247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4943876</xdr:colOff>
      <xdr:row>56</xdr:row>
      <xdr:rowOff>177107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706100"/>
          <a:ext cx="5255026" cy="57715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45390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47625</xdr:rowOff>
    </xdr:from>
    <xdr:to>
      <xdr:col>1</xdr:col>
      <xdr:colOff>4943876</xdr:colOff>
      <xdr:row>69</xdr:row>
      <xdr:rowOff>72332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3020675"/>
          <a:ext cx="5255026" cy="57715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73150" y="11055350"/>
          <a:ext cx="3971925" cy="188595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3941407"/>
          <a:ext cx="5434423" cy="18721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514350</xdr:colOff>
      <xdr:row>130</xdr:row>
      <xdr:rowOff>57150</xdr:rowOff>
    </xdr:from>
    <xdr:to>
      <xdr:col>1</xdr:col>
      <xdr:colOff>941795</xdr:colOff>
      <xdr:row>132</xdr:row>
      <xdr:rowOff>11599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3665783</xdr:colOff>
      <xdr:row>130</xdr:row>
      <xdr:rowOff>69930</xdr:rowOff>
    </xdr:from>
    <xdr:to>
      <xdr:col>1</xdr:col>
      <xdr:colOff>4817658</xdr:colOff>
      <xdr:row>132</xdr:row>
      <xdr:rowOff>46037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280275" y="2479675"/>
          <a:ext cx="2552700" cy="165630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058025"/>
          <a:ext cx="5774563" cy="230822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598494"/>
          <a:ext cx="2907869" cy="34637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7960860"/>
          <a:ext cx="2936444" cy="35168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728378"/>
          <a:ext cx="2557911" cy="35168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328536"/>
          <a:ext cx="2936444" cy="35168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74789"/>
          <a:ext cx="5437187" cy="58668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51114"/>
          <a:ext cx="5237162" cy="58350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52414" y="3647779"/>
          <a:ext cx="7866336" cy="359585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19050</xdr:rowOff>
    </xdr:from>
    <xdr:to>
      <xdr:col>1</xdr:col>
      <xdr:colOff>4934351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8650"/>
          <a:ext cx="5270901" cy="56445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12</xdr:row>
      <xdr:rowOff>114300</xdr:rowOff>
    </xdr:from>
    <xdr:to>
      <xdr:col>1</xdr:col>
      <xdr:colOff>4705055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157163</xdr:rowOff>
    </xdr:from>
    <xdr:to>
      <xdr:col>1</xdr:col>
      <xdr:colOff>4934351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24413"/>
          <a:ext cx="5270901" cy="57715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26</xdr:row>
      <xdr:rowOff>104775</xdr:rowOff>
    </xdr:from>
    <xdr:to>
      <xdr:col>1</xdr:col>
      <xdr:colOff>4800293</xdr:colOff>
      <xdr:row>40</xdr:row>
      <xdr:rowOff>28246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104775</xdr:rowOff>
    </xdr:from>
    <xdr:to>
      <xdr:col>1</xdr:col>
      <xdr:colOff>4934351</xdr:colOff>
      <xdr:row>43</xdr:row>
      <xdr:rowOff>129482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112125"/>
          <a:ext cx="5270901" cy="57715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575550" y="7302500"/>
          <a:ext cx="3036357" cy="111991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171450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746875" y="4776507"/>
          <a:ext cx="2600325" cy="81149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712325"/>
          <a:ext cx="5774563" cy="231457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233744"/>
          <a:ext cx="2907869" cy="35272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596110"/>
          <a:ext cx="2936444" cy="35803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363628"/>
          <a:ext cx="2557911" cy="35168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963786"/>
          <a:ext cx="3841318" cy="35803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9112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defaultColWidth="11.08984375" defaultRowHeight="20.25" customHeight="1" x14ac:dyDescent="0.35"/>
  <cols>
    <col min="1" max="1" width="129.6328125" style="1" customWidth="1"/>
    <col min="2" max="2" width="3.54296875" style="1" customWidth="1"/>
    <col min="3" max="16384" width="11.08984375" style="1"/>
  </cols>
  <sheetData>
    <row r="1" spans="1:1" ht="20.25" customHeight="1" x14ac:dyDescent="1.9">
      <c r="A1" s="70"/>
    </row>
    <row r="2" spans="1:1" ht="102" customHeight="1" x14ac:dyDescent="1.9">
      <c r="A2" s="70" t="s">
        <v>293</v>
      </c>
    </row>
    <row r="3" spans="1:1" ht="44" x14ac:dyDescent="0.5">
      <c r="A3" s="2" t="s">
        <v>292</v>
      </c>
    </row>
    <row r="4" spans="1:1" ht="264" customHeight="1" x14ac:dyDescent="0.35">
      <c r="A4" s="3" t="s">
        <v>0</v>
      </c>
    </row>
    <row r="5" spans="1:1" ht="20.25" customHeight="1" x14ac:dyDescent="0.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C21" zoomScale="124" zoomScaleNormal="100" workbookViewId="0">
      <selection activeCell="I47" sqref="I47"/>
    </sheetView>
  </sheetViews>
  <sheetFormatPr defaultColWidth="9.08984375" defaultRowHeight="14.5" x14ac:dyDescent="0.35"/>
  <cols>
    <col min="1" max="1" width="12.6328125" style="29" customWidth="1"/>
    <col min="2" max="2" width="82.90625" style="23" customWidth="1"/>
    <col min="3" max="3" width="15.6328125" style="23" bestFit="1" customWidth="1"/>
    <col min="4" max="4" width="2.36328125" style="23" customWidth="1"/>
    <col min="5" max="5" width="18" style="23" bestFit="1" customWidth="1"/>
    <col min="6" max="6" width="15.6328125" style="23" customWidth="1"/>
    <col min="7" max="7" width="13.36328125" style="23" customWidth="1"/>
    <col min="8" max="10" width="9.08984375" style="23"/>
    <col min="11" max="11" width="9.08984375" style="23" customWidth="1"/>
    <col min="12" max="16384" width="9.08984375" style="23"/>
  </cols>
  <sheetData>
    <row r="1" spans="1:7" ht="60" customHeight="1" x14ac:dyDescent="0.35">
      <c r="A1" s="29" t="s">
        <v>130</v>
      </c>
      <c r="C1" s="75"/>
      <c r="D1" s="76"/>
      <c r="E1" s="76"/>
      <c r="F1" s="76"/>
    </row>
    <row r="2" spans="1:7" ht="15" thickBot="1" x14ac:dyDescent="0.4">
      <c r="A2" s="29" t="s">
        <v>131</v>
      </c>
      <c r="C2" s="77" t="s">
        <v>124</v>
      </c>
      <c r="E2" s="7" t="s">
        <v>295</v>
      </c>
      <c r="F2" s="8" t="s">
        <v>294</v>
      </c>
      <c r="G2" s="8" t="s">
        <v>296</v>
      </c>
    </row>
    <row r="3" spans="1:7" ht="15.5" thickTop="1" thickBot="1" x14ac:dyDescent="0.4">
      <c r="A3" s="29" t="s">
        <v>132</v>
      </c>
      <c r="C3" s="95">
        <v>1</v>
      </c>
      <c r="E3" s="108" t="s">
        <v>125</v>
      </c>
      <c r="F3" s="107">
        <f>C3+C4</f>
        <v>3</v>
      </c>
      <c r="G3" s="109">
        <f>C3+C4</f>
        <v>3</v>
      </c>
    </row>
    <row r="4" spans="1:7" ht="15.5" thickTop="1" thickBot="1" x14ac:dyDescent="0.4">
      <c r="A4" s="29" t="s">
        <v>133</v>
      </c>
      <c r="C4" s="95">
        <v>2</v>
      </c>
      <c r="E4" s="108" t="s">
        <v>126</v>
      </c>
      <c r="F4" s="107">
        <f>C3+C4</f>
        <v>3</v>
      </c>
      <c r="G4" s="109">
        <f>C3-C4</f>
        <v>-1</v>
      </c>
    </row>
    <row r="5" spans="1:7" ht="15" thickTop="1" x14ac:dyDescent="0.35">
      <c r="A5" s="29" t="s">
        <v>134</v>
      </c>
      <c r="E5" s="108" t="s">
        <v>127</v>
      </c>
      <c r="F5" s="107">
        <f>C3*C4</f>
        <v>2</v>
      </c>
      <c r="G5" s="109">
        <f>C3*C4</f>
        <v>2</v>
      </c>
    </row>
    <row r="6" spans="1:7" ht="15" thickBot="1" x14ac:dyDescent="0.4">
      <c r="A6" s="29" t="s">
        <v>135</v>
      </c>
      <c r="E6" s="108" t="s">
        <v>128</v>
      </c>
      <c r="F6" s="107">
        <f>C3/C4</f>
        <v>0.5</v>
      </c>
      <c r="G6" s="109">
        <f>C3/C4</f>
        <v>0.5</v>
      </c>
    </row>
    <row r="7" spans="1:7" ht="15" customHeight="1" thickTop="1" thickBot="1" x14ac:dyDescent="0.4">
      <c r="A7" s="29" t="s">
        <v>152</v>
      </c>
      <c r="E7" s="108" t="s">
        <v>129</v>
      </c>
      <c r="F7" s="110">
        <f>C3^C4</f>
        <v>1</v>
      </c>
      <c r="G7" s="109">
        <f>C3^C4</f>
        <v>1</v>
      </c>
    </row>
    <row r="8" spans="1:7" ht="15" thickTop="1" x14ac:dyDescent="0.35">
      <c r="A8" s="29" t="s">
        <v>153</v>
      </c>
    </row>
    <row r="9" spans="1:7" x14ac:dyDescent="0.35">
      <c r="A9" s="29" t="s">
        <v>136</v>
      </c>
    </row>
    <row r="10" spans="1:7" x14ac:dyDescent="0.35">
      <c r="A10" s="29" t="s">
        <v>137</v>
      </c>
    </row>
    <row r="11" spans="1:7" x14ac:dyDescent="0.35">
      <c r="A11" s="29" t="s">
        <v>138</v>
      </c>
    </row>
    <row r="12" spans="1:7" x14ac:dyDescent="0.35">
      <c r="A12" s="29" t="s">
        <v>139</v>
      </c>
    </row>
    <row r="13" spans="1:7" ht="15" customHeight="1" x14ac:dyDescent="0.35">
      <c r="A13" s="31" t="s">
        <v>311</v>
      </c>
    </row>
    <row r="14" spans="1:7" x14ac:dyDescent="0.35">
      <c r="A14" s="29" t="s">
        <v>140</v>
      </c>
    </row>
    <row r="15" spans="1:7" x14ac:dyDescent="0.35">
      <c r="A15" s="29" t="s">
        <v>141</v>
      </c>
    </row>
    <row r="16" spans="1:7" x14ac:dyDescent="0.35">
      <c r="A16" s="29" t="s">
        <v>142</v>
      </c>
    </row>
    <row r="17" spans="1:7" x14ac:dyDescent="0.35">
      <c r="A17" s="29" t="s">
        <v>154</v>
      </c>
    </row>
    <row r="18" spans="1:7" x14ac:dyDescent="0.35">
      <c r="A18" s="29" t="s">
        <v>143</v>
      </c>
    </row>
    <row r="19" spans="1:7" x14ac:dyDescent="0.35">
      <c r="A19" s="29" t="s">
        <v>144</v>
      </c>
    </row>
    <row r="20" spans="1:7" x14ac:dyDescent="0.35">
      <c r="A20" s="29" t="s">
        <v>145</v>
      </c>
    </row>
    <row r="21" spans="1:7" ht="15" customHeight="1" x14ac:dyDescent="0.35">
      <c r="A21" s="31" t="s">
        <v>290</v>
      </c>
    </row>
    <row r="22" spans="1:7" x14ac:dyDescent="0.35">
      <c r="A22" s="29" t="s">
        <v>146</v>
      </c>
    </row>
    <row r="23" spans="1:7" x14ac:dyDescent="0.35">
      <c r="A23" s="29" t="s">
        <v>147</v>
      </c>
    </row>
    <row r="24" spans="1:7" x14ac:dyDescent="0.35">
      <c r="A24" s="29" t="s">
        <v>30</v>
      </c>
    </row>
    <row r="25" spans="1:7" ht="32.5" x14ac:dyDescent="0.35">
      <c r="A25" s="29" t="s">
        <v>148</v>
      </c>
      <c r="C25" s="75"/>
      <c r="D25" s="76"/>
      <c r="E25" s="76"/>
      <c r="F25" s="76"/>
      <c r="G25" s="76"/>
    </row>
    <row r="26" spans="1:7" x14ac:dyDescent="0.35">
      <c r="A26" s="29" t="s">
        <v>149</v>
      </c>
    </row>
    <row r="27" spans="1:7" x14ac:dyDescent="0.35">
      <c r="A27" s="29" t="s">
        <v>150</v>
      </c>
    </row>
    <row r="28" spans="1:7" ht="26" x14ac:dyDescent="0.6">
      <c r="A28" s="29" t="s">
        <v>151</v>
      </c>
      <c r="E28" s="67"/>
    </row>
    <row r="29" spans="1:7" x14ac:dyDescent="0.35">
      <c r="A29" s="29" t="s">
        <v>33</v>
      </c>
    </row>
    <row r="40" spans="10:14" x14ac:dyDescent="0.35">
      <c r="J40" s="8" t="s">
        <v>81</v>
      </c>
    </row>
    <row r="41" spans="10:14" x14ac:dyDescent="0.35">
      <c r="J41" s="68">
        <v>4</v>
      </c>
    </row>
    <row r="42" spans="10:14" x14ac:dyDescent="0.35">
      <c r="J42" s="68">
        <v>8</v>
      </c>
    </row>
    <row r="43" spans="10:14" x14ac:dyDescent="0.35">
      <c r="J43" s="66">
        <f>SUM(J41:J42)</f>
        <v>12</v>
      </c>
      <c r="N43"/>
    </row>
    <row r="46" spans="10:14" x14ac:dyDescent="0.35">
      <c r="L46"/>
      <c r="M46"/>
    </row>
    <row r="64" spans="7:7" x14ac:dyDescent="0.35">
      <c r="G64" s="69"/>
    </row>
    <row r="65" spans="7:7" x14ac:dyDescent="0.35">
      <c r="G65" s="69"/>
    </row>
    <row r="66" spans="7:7" x14ac:dyDescent="0.35">
      <c r="G66" s="69"/>
    </row>
    <row r="67" spans="7:7" x14ac:dyDescent="0.35">
      <c r="G67" s="69"/>
    </row>
    <row r="86" ht="17.399999999999999" customHeight="1" x14ac:dyDescent="0.3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topLeftCell="B40" zoomScaleNormal="100" zoomScalePageLayoutView="125" workbookViewId="0">
      <selection activeCell="C65" sqref="C65"/>
    </sheetView>
  </sheetViews>
  <sheetFormatPr defaultColWidth="8.90625" defaultRowHeight="15" customHeight="1" x14ac:dyDescent="0.35"/>
  <cols>
    <col min="1" max="1" width="12.6328125" style="78" customWidth="1"/>
    <col min="2" max="2" width="82.90625" style="82" customWidth="1"/>
    <col min="3" max="4" width="13.36328125" style="82" customWidth="1"/>
    <col min="5" max="5" width="2.36328125" style="82" customWidth="1"/>
    <col min="6" max="6" width="16" style="82" bestFit="1" customWidth="1"/>
    <col min="7" max="7" width="13.36328125" style="82" customWidth="1"/>
    <col min="8" max="16384" width="8.90625" style="82"/>
  </cols>
  <sheetData>
    <row r="1" spans="1:13" ht="60" customHeight="1" x14ac:dyDescent="0.75">
      <c r="A1" s="9" t="s">
        <v>155</v>
      </c>
      <c r="B1" s="79"/>
      <c r="C1" s="80"/>
      <c r="D1" s="81"/>
      <c r="E1" s="81"/>
      <c r="F1" s="81"/>
      <c r="G1" s="81"/>
    </row>
    <row r="2" spans="1:13" ht="15" customHeight="1" x14ac:dyDescent="0.35">
      <c r="A2" s="78" t="s">
        <v>156</v>
      </c>
      <c r="C2" s="83" t="s">
        <v>1</v>
      </c>
      <c r="D2" s="84" t="s">
        <v>2</v>
      </c>
      <c r="F2" s="83" t="s">
        <v>3</v>
      </c>
      <c r="G2" s="84" t="s">
        <v>2</v>
      </c>
    </row>
    <row r="3" spans="1:13" ht="15" customHeight="1" x14ac:dyDescent="0.35">
      <c r="A3" s="44" t="s">
        <v>291</v>
      </c>
      <c r="B3" s="85"/>
      <c r="C3" s="112" t="s">
        <v>4</v>
      </c>
      <c r="D3" s="112">
        <v>50</v>
      </c>
      <c r="F3" s="112" t="s">
        <v>5</v>
      </c>
      <c r="G3" s="112">
        <v>50</v>
      </c>
    </row>
    <row r="4" spans="1:13" ht="15" customHeight="1" x14ac:dyDescent="0.35">
      <c r="A4" s="78" t="s">
        <v>157</v>
      </c>
      <c r="C4" s="112" t="s">
        <v>6</v>
      </c>
      <c r="D4" s="112">
        <v>20</v>
      </c>
      <c r="E4" s="86"/>
      <c r="F4" s="112" t="s">
        <v>7</v>
      </c>
      <c r="G4" s="112">
        <v>30</v>
      </c>
    </row>
    <row r="5" spans="1:13" s="86" customFormat="1" ht="15" customHeight="1" x14ac:dyDescent="0.35">
      <c r="A5" s="9" t="s">
        <v>271</v>
      </c>
      <c r="C5" s="112" t="s">
        <v>8</v>
      </c>
      <c r="D5" s="112">
        <v>60</v>
      </c>
      <c r="F5" s="112" t="s">
        <v>9</v>
      </c>
      <c r="G5" s="112">
        <v>10</v>
      </c>
    </row>
    <row r="6" spans="1:13" s="86" customFormat="1" ht="15" customHeight="1" x14ac:dyDescent="0.35">
      <c r="A6" s="78" t="s">
        <v>136</v>
      </c>
      <c r="B6" s="87"/>
      <c r="C6" s="112" t="s">
        <v>10</v>
      </c>
      <c r="D6" s="113">
        <v>40</v>
      </c>
      <c r="F6" s="112" t="s">
        <v>11</v>
      </c>
      <c r="G6" s="113">
        <v>50</v>
      </c>
    </row>
    <row r="7" spans="1:13" s="86" customFormat="1" ht="15" customHeight="1" x14ac:dyDescent="0.35">
      <c r="A7" s="78" t="s">
        <v>158</v>
      </c>
      <c r="C7" s="130" t="s">
        <v>299</v>
      </c>
      <c r="D7" s="114">
        <f>SUM(D3:D6)</f>
        <v>170</v>
      </c>
      <c r="F7" s="130" t="s">
        <v>299</v>
      </c>
      <c r="G7" s="114"/>
      <c r="M7" s="88"/>
    </row>
    <row r="8" spans="1:13" s="86" customFormat="1" ht="15" customHeight="1" x14ac:dyDescent="0.35">
      <c r="A8" s="78" t="s">
        <v>137</v>
      </c>
      <c r="M8" s="88"/>
    </row>
    <row r="9" spans="1:13" s="86" customFormat="1" ht="15" customHeight="1" x14ac:dyDescent="0.35">
      <c r="A9" s="78" t="s">
        <v>159</v>
      </c>
      <c r="C9" s="83" t="s">
        <v>12</v>
      </c>
      <c r="D9" s="84" t="s">
        <v>2</v>
      </c>
      <c r="F9" s="83" t="s">
        <v>12</v>
      </c>
      <c r="G9" s="84" t="s">
        <v>2</v>
      </c>
      <c r="M9" s="88"/>
    </row>
    <row r="10" spans="1:13" s="86" customFormat="1" ht="15" customHeight="1" x14ac:dyDescent="0.45">
      <c r="A10" s="89" t="s">
        <v>160</v>
      </c>
      <c r="C10" s="112" t="s">
        <v>13</v>
      </c>
      <c r="D10" s="112">
        <v>50</v>
      </c>
      <c r="F10" s="112" t="s">
        <v>13</v>
      </c>
      <c r="G10" s="112">
        <v>50</v>
      </c>
      <c r="M10" s="88"/>
    </row>
    <row r="11" spans="1:13" s="86" customFormat="1" ht="15" customHeight="1" x14ac:dyDescent="0.35">
      <c r="A11" s="78" t="s">
        <v>161</v>
      </c>
      <c r="C11" s="112" t="s">
        <v>14</v>
      </c>
      <c r="D11" s="112">
        <v>100</v>
      </c>
      <c r="F11" s="112" t="s">
        <v>14</v>
      </c>
      <c r="G11" s="112">
        <v>100</v>
      </c>
      <c r="M11" s="88"/>
    </row>
    <row r="12" spans="1:13" s="86" customFormat="1" ht="15" customHeight="1" x14ac:dyDescent="0.35">
      <c r="A12" s="78" t="s">
        <v>162</v>
      </c>
      <c r="C12" s="112" t="s">
        <v>15</v>
      </c>
      <c r="D12" s="112">
        <v>40</v>
      </c>
      <c r="F12" s="112" t="s">
        <v>15</v>
      </c>
      <c r="G12" s="112">
        <v>40</v>
      </c>
      <c r="M12" s="88"/>
    </row>
    <row r="13" spans="1:13" s="86" customFormat="1" ht="15" customHeight="1" x14ac:dyDescent="0.35">
      <c r="A13" s="78" t="s">
        <v>163</v>
      </c>
      <c r="C13" s="112" t="s">
        <v>16</v>
      </c>
      <c r="D13" s="112">
        <v>50</v>
      </c>
      <c r="F13" s="112" t="s">
        <v>16</v>
      </c>
      <c r="G13" s="112">
        <v>50</v>
      </c>
      <c r="M13" s="88"/>
    </row>
    <row r="14" spans="1:13" s="86" customFormat="1" ht="15" customHeight="1" thickBot="1" x14ac:dyDescent="0.4">
      <c r="A14" s="132" t="s">
        <v>310</v>
      </c>
      <c r="C14" s="112" t="s">
        <v>17</v>
      </c>
      <c r="D14" s="112">
        <v>20</v>
      </c>
      <c r="F14" s="112" t="s">
        <v>17</v>
      </c>
      <c r="G14" s="112">
        <v>20</v>
      </c>
      <c r="M14" s="88"/>
    </row>
    <row r="15" spans="1:13" s="86" customFormat="1" ht="15" customHeight="1" thickTop="1" thickBot="1" x14ac:dyDescent="0.4">
      <c r="A15" s="78" t="s">
        <v>30</v>
      </c>
      <c r="C15" s="130" t="s">
        <v>299</v>
      </c>
      <c r="D15" s="111"/>
      <c r="F15" s="130" t="s">
        <v>300</v>
      </c>
      <c r="G15" s="90"/>
      <c r="M15" s="88"/>
    </row>
    <row r="16" spans="1:13" s="86" customFormat="1" ht="15" customHeight="1" thickTop="1" x14ac:dyDescent="0.35">
      <c r="A16" s="78" t="s">
        <v>37</v>
      </c>
      <c r="M16" s="88"/>
    </row>
    <row r="17" spans="1:13" s="86" customFormat="1" ht="15" customHeight="1" x14ac:dyDescent="0.35">
      <c r="A17" s="78" t="s">
        <v>164</v>
      </c>
      <c r="M17" s="88"/>
    </row>
    <row r="18" spans="1:13" s="86" customFormat="1" ht="15" customHeight="1" x14ac:dyDescent="0.35">
      <c r="A18" s="78" t="s">
        <v>36</v>
      </c>
      <c r="M18" s="88"/>
    </row>
    <row r="19" spans="1:13" s="86" customFormat="1" ht="15" customHeight="1" x14ac:dyDescent="0.35">
      <c r="A19" s="78" t="s">
        <v>33</v>
      </c>
      <c r="C19" s="88"/>
      <c r="M19" s="88"/>
    </row>
    <row r="20" spans="1:13" s="86" customFormat="1" ht="15" customHeight="1" x14ac:dyDescent="0.35">
      <c r="A20" s="78" t="s">
        <v>165</v>
      </c>
      <c r="M20" s="88"/>
    </row>
    <row r="21" spans="1:13" s="86" customFormat="1" ht="15" customHeight="1" x14ac:dyDescent="0.35">
      <c r="A21" s="78" t="s">
        <v>137</v>
      </c>
      <c r="M21" s="88"/>
    </row>
    <row r="22" spans="1:13" s="86" customFormat="1" ht="15" customHeight="1" x14ac:dyDescent="0.35">
      <c r="A22" s="78"/>
      <c r="M22" s="88"/>
    </row>
    <row r="23" spans="1:13" s="86" customFormat="1" ht="15" customHeight="1" x14ac:dyDescent="0.35">
      <c r="A23" s="78"/>
    </row>
    <row r="26" spans="1:13" ht="15" customHeight="1" x14ac:dyDescent="0.35">
      <c r="H26" s="88"/>
    </row>
    <row r="34" spans="3:7" ht="15" customHeight="1" x14ac:dyDescent="0.35">
      <c r="C34" s="83" t="s">
        <v>1</v>
      </c>
      <c r="D34" s="84" t="s">
        <v>2</v>
      </c>
    </row>
    <row r="35" spans="3:7" ht="15" customHeight="1" x14ac:dyDescent="0.35">
      <c r="C35" s="112" t="s">
        <v>4</v>
      </c>
      <c r="D35" s="112">
        <v>50</v>
      </c>
      <c r="E35" s="86"/>
    </row>
    <row r="36" spans="3:7" ht="15" customHeight="1" x14ac:dyDescent="0.35">
      <c r="C36" s="112" t="s">
        <v>6</v>
      </c>
      <c r="D36" s="112">
        <v>20</v>
      </c>
      <c r="E36" s="86"/>
    </row>
    <row r="37" spans="3:7" ht="15" customHeight="1" x14ac:dyDescent="0.35">
      <c r="C37" s="112" t="s">
        <v>8</v>
      </c>
      <c r="D37" s="112">
        <v>60</v>
      </c>
      <c r="E37" s="86"/>
    </row>
    <row r="38" spans="3:7" ht="15" customHeight="1" x14ac:dyDescent="0.35">
      <c r="C38" s="112" t="s">
        <v>10</v>
      </c>
      <c r="D38" s="112">
        <v>40</v>
      </c>
      <c r="E38" s="86"/>
    </row>
    <row r="39" spans="3:7" ht="15" customHeight="1" x14ac:dyDescent="0.35">
      <c r="C39" s="130" t="s">
        <v>299</v>
      </c>
      <c r="D39" s="111">
        <f>SUM(D35:D38)</f>
        <v>170</v>
      </c>
      <c r="E39" s="86"/>
      <c r="F39" s="86"/>
      <c r="G39" s="86"/>
    </row>
    <row r="44" spans="3:7" ht="15" customHeight="1" x14ac:dyDescent="0.35">
      <c r="C44" s="83" t="s">
        <v>12</v>
      </c>
      <c r="D44" s="84" t="s">
        <v>2</v>
      </c>
      <c r="E44" s="86"/>
    </row>
    <row r="45" spans="3:7" ht="15" customHeight="1" x14ac:dyDescent="0.35">
      <c r="C45" s="112" t="s">
        <v>25</v>
      </c>
      <c r="D45" s="112">
        <v>20</v>
      </c>
      <c r="E45" s="86"/>
    </row>
    <row r="46" spans="3:7" ht="15" customHeight="1" x14ac:dyDescent="0.35">
      <c r="C46" s="112" t="s">
        <v>26</v>
      </c>
      <c r="D46" s="112">
        <v>10</v>
      </c>
      <c r="E46" s="86"/>
    </row>
    <row r="47" spans="3:7" ht="15" customHeight="1" x14ac:dyDescent="0.35">
      <c r="C47" s="112" t="s">
        <v>27</v>
      </c>
      <c r="D47" s="112">
        <v>10</v>
      </c>
      <c r="E47" s="86"/>
    </row>
    <row r="48" spans="3:7" ht="15" customHeight="1" x14ac:dyDescent="0.35">
      <c r="C48" s="112" t="s">
        <v>28</v>
      </c>
      <c r="D48" s="112">
        <v>40</v>
      </c>
      <c r="E48" s="86"/>
    </row>
    <row r="50" spans="4:7" ht="15" customHeight="1" x14ac:dyDescent="0.35">
      <c r="D50" s="84" t="s">
        <v>29</v>
      </c>
      <c r="F50" s="84" t="s">
        <v>306</v>
      </c>
      <c r="G50" s="84" t="s">
        <v>305</v>
      </c>
    </row>
    <row r="51" spans="4:7" ht="15" customHeight="1" x14ac:dyDescent="0.35">
      <c r="D51" s="91">
        <f>SUM(D45:D48,100)</f>
        <v>180</v>
      </c>
      <c r="F51" s="131">
        <v>100</v>
      </c>
      <c r="G51" s="131">
        <f>SUM(D45:D48,F51)</f>
        <v>180</v>
      </c>
    </row>
    <row r="87" spans="1:1" ht="15" customHeight="1" x14ac:dyDescent="0.35">
      <c r="A87" s="78" t="s">
        <v>33</v>
      </c>
    </row>
    <row r="88" spans="1:1" ht="15" customHeight="1" x14ac:dyDescent="0.35">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topLeftCell="B1" workbookViewId="0">
      <selection activeCell="G15" sqref="G15"/>
    </sheetView>
  </sheetViews>
  <sheetFormatPr defaultColWidth="8.90625" defaultRowHeight="14.5" x14ac:dyDescent="0.35"/>
  <cols>
    <col min="1" max="1" width="12.6328125" style="14" customWidth="1"/>
    <col min="2" max="2" width="82.90625" style="1" customWidth="1"/>
    <col min="3" max="3" width="13.36328125" style="9" customWidth="1"/>
    <col min="4" max="4" width="13.36328125" style="1" customWidth="1"/>
    <col min="5" max="5" width="2.36328125" style="1" customWidth="1"/>
    <col min="6" max="6" width="13.36328125" style="4" customWidth="1"/>
    <col min="7" max="7" width="13.36328125" style="1" customWidth="1"/>
    <col min="8" max="16384" width="8.90625" style="1"/>
  </cols>
  <sheetData>
    <row r="1" spans="1:10" ht="60" customHeight="1" x14ac:dyDescent="0.35">
      <c r="A1" s="15" t="s">
        <v>166</v>
      </c>
      <c r="B1" s="45"/>
      <c r="C1" s="80"/>
      <c r="D1" s="92"/>
      <c r="E1" s="92"/>
      <c r="F1" s="92"/>
      <c r="G1" s="92"/>
      <c r="H1" s="45"/>
      <c r="I1" s="45"/>
      <c r="J1" s="45"/>
    </row>
    <row r="2" spans="1:10" ht="15" customHeight="1" x14ac:dyDescent="0.45">
      <c r="A2" s="89" t="s">
        <v>175</v>
      </c>
      <c r="B2" s="45"/>
      <c r="C2" s="7" t="s">
        <v>1</v>
      </c>
      <c r="D2" s="8" t="s">
        <v>2</v>
      </c>
      <c r="E2" s="47"/>
      <c r="F2" s="11" t="s">
        <v>3</v>
      </c>
      <c r="G2" s="8" t="s">
        <v>2</v>
      </c>
      <c r="H2" s="45"/>
      <c r="I2" s="45"/>
      <c r="J2" s="5"/>
    </row>
    <row r="3" spans="1:10" ht="15" customHeight="1" x14ac:dyDescent="0.45">
      <c r="A3" s="89" t="s">
        <v>176</v>
      </c>
      <c r="B3" s="45"/>
      <c r="C3" s="116" t="s">
        <v>4</v>
      </c>
      <c r="D3" s="117">
        <v>50</v>
      </c>
      <c r="E3" s="47"/>
      <c r="F3" s="118" t="s">
        <v>5</v>
      </c>
      <c r="G3" s="117">
        <v>50</v>
      </c>
      <c r="H3" s="45"/>
      <c r="I3" s="45"/>
      <c r="J3" s="5"/>
    </row>
    <row r="4" spans="1:10" ht="15" customHeight="1" x14ac:dyDescent="0.45">
      <c r="A4" s="89" t="s">
        <v>177</v>
      </c>
      <c r="B4" s="45"/>
      <c r="C4" s="116" t="s">
        <v>6</v>
      </c>
      <c r="D4" s="117">
        <v>20</v>
      </c>
      <c r="E4" s="47"/>
      <c r="F4" s="118" t="s">
        <v>7</v>
      </c>
      <c r="G4" s="117">
        <v>30</v>
      </c>
      <c r="H4" s="45"/>
      <c r="I4" s="45"/>
      <c r="J4" s="5"/>
    </row>
    <row r="5" spans="1:10" s="4" customFormat="1" ht="15" customHeight="1" x14ac:dyDescent="0.45">
      <c r="A5" s="89" t="s">
        <v>178</v>
      </c>
      <c r="B5" s="46"/>
      <c r="C5" s="116" t="s">
        <v>8</v>
      </c>
      <c r="D5" s="117">
        <v>60</v>
      </c>
      <c r="E5" s="47"/>
      <c r="F5" s="118" t="s">
        <v>9</v>
      </c>
      <c r="G5" s="117">
        <v>10</v>
      </c>
      <c r="H5" s="46"/>
      <c r="I5" s="46"/>
      <c r="J5" s="5"/>
    </row>
    <row r="6" spans="1:10" s="4" customFormat="1" ht="15" customHeight="1" x14ac:dyDescent="0.35">
      <c r="A6" s="99" t="s">
        <v>272</v>
      </c>
      <c r="B6" s="46"/>
      <c r="C6" s="116" t="s">
        <v>10</v>
      </c>
      <c r="D6" s="117">
        <v>40</v>
      </c>
      <c r="E6" s="47"/>
      <c r="F6" s="118" t="s">
        <v>11</v>
      </c>
      <c r="G6" s="117">
        <v>50</v>
      </c>
      <c r="H6" s="46"/>
      <c r="I6" s="46"/>
      <c r="J6" s="5"/>
    </row>
    <row r="7" spans="1:10" s="4" customFormat="1" ht="15" customHeight="1" x14ac:dyDescent="0.45">
      <c r="A7" s="28" t="s">
        <v>167</v>
      </c>
      <c r="B7" s="46"/>
      <c r="C7" s="10" t="s">
        <v>301</v>
      </c>
      <c r="D7" s="115">
        <f>AVERAGE(D3:D6)</f>
        <v>42.5</v>
      </c>
      <c r="E7" s="47"/>
      <c r="F7" s="10" t="s">
        <v>301</v>
      </c>
      <c r="G7" s="115"/>
      <c r="H7" s="46"/>
      <c r="I7" s="46"/>
      <c r="J7" s="5"/>
    </row>
    <row r="8" spans="1:10" s="4" customFormat="1" ht="15" customHeight="1" x14ac:dyDescent="0.35">
      <c r="A8" s="17" t="s">
        <v>168</v>
      </c>
      <c r="B8" s="46"/>
      <c r="C8" s="46"/>
      <c r="D8" s="47"/>
      <c r="E8" s="47"/>
      <c r="F8" s="46"/>
      <c r="G8" s="47"/>
      <c r="H8" s="46"/>
      <c r="I8" s="46"/>
      <c r="J8" s="5"/>
    </row>
    <row r="9" spans="1:10" s="4" customFormat="1" ht="15" customHeight="1" x14ac:dyDescent="0.35">
      <c r="A9" s="99" t="s">
        <v>174</v>
      </c>
      <c r="B9" s="46"/>
      <c r="C9" s="7" t="s">
        <v>12</v>
      </c>
      <c r="D9" s="8" t="s">
        <v>2</v>
      </c>
      <c r="E9" s="47"/>
      <c r="F9" s="11" t="s">
        <v>12</v>
      </c>
      <c r="G9" s="8" t="s">
        <v>2</v>
      </c>
      <c r="H9" s="46"/>
      <c r="I9" s="46"/>
      <c r="J9" s="5"/>
    </row>
    <row r="10" spans="1:10" s="4" customFormat="1" ht="15" customHeight="1" x14ac:dyDescent="0.45">
      <c r="A10" s="28" t="s">
        <v>169</v>
      </c>
      <c r="B10" s="46"/>
      <c r="C10" s="116" t="s">
        <v>13</v>
      </c>
      <c r="D10" s="117">
        <v>50</v>
      </c>
      <c r="E10" s="47"/>
      <c r="F10" s="118" t="s">
        <v>13</v>
      </c>
      <c r="G10" s="117">
        <v>50</v>
      </c>
      <c r="H10" s="46"/>
      <c r="I10" s="46"/>
      <c r="J10" s="5"/>
    </row>
    <row r="11" spans="1:10" s="4" customFormat="1" ht="15" customHeight="1" x14ac:dyDescent="0.35">
      <c r="A11" s="17" t="s">
        <v>170</v>
      </c>
      <c r="B11" s="46"/>
      <c r="C11" s="116" t="s">
        <v>14</v>
      </c>
      <c r="D11" s="117">
        <v>100</v>
      </c>
      <c r="E11" s="47"/>
      <c r="F11" s="118" t="s">
        <v>14</v>
      </c>
      <c r="G11" s="117">
        <v>100</v>
      </c>
      <c r="H11" s="46"/>
      <c r="I11" s="46"/>
      <c r="J11" s="5"/>
    </row>
    <row r="12" spans="1:10" s="4" customFormat="1" ht="15" customHeight="1" x14ac:dyDescent="0.35">
      <c r="A12" s="17" t="s">
        <v>171</v>
      </c>
      <c r="B12" s="46"/>
      <c r="C12" s="116" t="s">
        <v>15</v>
      </c>
      <c r="D12" s="117">
        <v>40</v>
      </c>
      <c r="E12" s="47"/>
      <c r="F12" s="118" t="s">
        <v>15</v>
      </c>
      <c r="G12" s="117">
        <v>40</v>
      </c>
      <c r="H12" s="46"/>
      <c r="I12" s="46"/>
      <c r="J12" s="5"/>
    </row>
    <row r="13" spans="1:10" s="4" customFormat="1" ht="15" customHeight="1" x14ac:dyDescent="0.35">
      <c r="A13" s="17" t="s">
        <v>172</v>
      </c>
      <c r="B13" s="46"/>
      <c r="C13" s="116" t="s">
        <v>16</v>
      </c>
      <c r="D13" s="117">
        <v>50</v>
      </c>
      <c r="E13" s="47"/>
      <c r="F13" s="118" t="s">
        <v>16</v>
      </c>
      <c r="G13" s="117">
        <v>50</v>
      </c>
      <c r="H13" s="46"/>
      <c r="I13" s="46"/>
      <c r="J13" s="5"/>
    </row>
    <row r="14" spans="1:10" s="4" customFormat="1" ht="15" customHeight="1" thickBot="1" x14ac:dyDescent="0.4">
      <c r="A14" s="17" t="s">
        <v>173</v>
      </c>
      <c r="B14" s="46"/>
      <c r="C14" s="116" t="s">
        <v>17</v>
      </c>
      <c r="D14" s="117">
        <v>20</v>
      </c>
      <c r="E14" s="47"/>
      <c r="F14" s="118" t="s">
        <v>17</v>
      </c>
      <c r="G14" s="117">
        <v>20</v>
      </c>
      <c r="H14" s="46"/>
      <c r="I14" s="46"/>
      <c r="J14" s="46"/>
    </row>
    <row r="15" spans="1:10" s="4" customFormat="1" ht="15" customHeight="1" thickTop="1" thickBot="1" x14ac:dyDescent="0.4">
      <c r="A15" s="27"/>
      <c r="B15" s="46"/>
      <c r="C15" s="10" t="s">
        <v>301</v>
      </c>
      <c r="D15" s="115"/>
      <c r="E15" s="47"/>
      <c r="F15" s="46"/>
      <c r="G15" s="95">
        <f>MODE(G10:G14)</f>
        <v>50</v>
      </c>
      <c r="H15" s="46"/>
      <c r="I15" s="46"/>
      <c r="J15" s="46"/>
    </row>
    <row r="16" spans="1:10" s="4" customFormat="1" ht="15" customHeight="1" thickTop="1" x14ac:dyDescent="0.35">
      <c r="A16" s="17"/>
      <c r="B16" s="46"/>
      <c r="C16" s="46"/>
      <c r="D16" s="46"/>
      <c r="E16" s="46"/>
      <c r="F16" s="46"/>
      <c r="G16" s="46"/>
      <c r="H16" s="46"/>
      <c r="I16" s="46"/>
      <c r="J16" s="46"/>
    </row>
    <row r="17" spans="1:3" s="4" customFormat="1" ht="15" customHeight="1" x14ac:dyDescent="0.35">
      <c r="A17" s="17"/>
      <c r="B17" s="46"/>
      <c r="C17" s="9"/>
    </row>
    <row r="18" spans="1:3" s="4" customFormat="1" ht="15" customHeight="1" x14ac:dyDescent="0.35">
      <c r="A18" s="17"/>
      <c r="B18" s="46"/>
      <c r="C18" s="9"/>
    </row>
    <row r="19" spans="1:3" s="4" customFormat="1" ht="15" customHeight="1" x14ac:dyDescent="0.35">
      <c r="A19" s="17"/>
      <c r="B19" s="46"/>
      <c r="C19" s="9"/>
    </row>
    <row r="20" spans="1:3" s="4" customFormat="1" ht="15" customHeight="1" x14ac:dyDescent="0.35">
      <c r="A20" s="17"/>
      <c r="B20" s="46"/>
      <c r="C20" s="9"/>
    </row>
    <row r="21" spans="1:3" s="4" customFormat="1" ht="15" customHeight="1" x14ac:dyDescent="0.35">
      <c r="A21" s="17"/>
      <c r="B21" s="46"/>
      <c r="C21" s="9"/>
    </row>
    <row r="22" spans="1:3" s="4" customFormat="1" ht="15" customHeight="1" x14ac:dyDescent="0.35">
      <c r="A22" s="17"/>
      <c r="B22" s="46"/>
      <c r="C22" s="9"/>
    </row>
    <row r="23" spans="1:3" s="4" customFormat="1" ht="15" customHeight="1" x14ac:dyDescent="0.35">
      <c r="A23" s="17"/>
      <c r="B23" s="46"/>
      <c r="C23" s="9"/>
    </row>
    <row r="24" spans="1:3" s="4" customFormat="1" ht="15" customHeight="1" x14ac:dyDescent="0.35">
      <c r="A24" s="17"/>
      <c r="B24" s="46"/>
      <c r="C24" s="9"/>
    </row>
    <row r="25" spans="1:3" s="4" customFormat="1" ht="15" customHeight="1" x14ac:dyDescent="0.35">
      <c r="A25" s="17"/>
      <c r="B25" s="46"/>
      <c r="C25" s="9"/>
    </row>
    <row r="26" spans="1:3" s="4" customFormat="1" ht="15" customHeight="1" x14ac:dyDescent="0.35">
      <c r="A26" s="17"/>
      <c r="B26" s="46"/>
      <c r="C26" s="9"/>
    </row>
    <row r="27" spans="1:3" x14ac:dyDescent="0.35">
      <c r="A27" s="17"/>
      <c r="B27" s="45"/>
    </row>
    <row r="28" spans="1:3" x14ac:dyDescent="0.35">
      <c r="A28" s="17"/>
      <c r="B28" s="45"/>
    </row>
    <row r="29" spans="1:3" ht="15" customHeight="1" x14ac:dyDescent="0.35">
      <c r="A29" s="17"/>
      <c r="B29" s="45"/>
      <c r="C29" s="9" t="s">
        <v>18</v>
      </c>
    </row>
    <row r="30" spans="1:3" ht="15" customHeight="1" x14ac:dyDescent="0.35">
      <c r="A30" s="17"/>
      <c r="B30" s="45"/>
      <c r="C30" s="9" t="s">
        <v>19</v>
      </c>
    </row>
    <row r="31" spans="1:3" ht="15" customHeight="1" x14ac:dyDescent="0.35">
      <c r="A31" s="17"/>
      <c r="B31" s="45"/>
      <c r="C31" s="9" t="s">
        <v>20</v>
      </c>
    </row>
    <row r="32" spans="1:3" ht="15" customHeight="1" x14ac:dyDescent="0.35">
      <c r="A32" s="17"/>
      <c r="B32" s="45"/>
      <c r="C32" s="9" t="s">
        <v>21</v>
      </c>
    </row>
    <row r="33" spans="1:9" ht="15" customHeight="1" x14ac:dyDescent="0.35">
      <c r="A33" s="17"/>
      <c r="B33" s="45"/>
      <c r="C33" s="9" t="s">
        <v>22</v>
      </c>
      <c r="D33" s="45"/>
      <c r="E33" s="45"/>
      <c r="F33" s="46"/>
      <c r="G33" s="45"/>
      <c r="H33" s="45"/>
      <c r="I33" s="45"/>
    </row>
    <row r="34" spans="1:9" ht="15" customHeight="1" x14ac:dyDescent="0.35">
      <c r="A34" s="17"/>
      <c r="B34" s="45"/>
      <c r="C34" s="9" t="s">
        <v>23</v>
      </c>
      <c r="D34" s="45"/>
      <c r="E34" s="45"/>
      <c r="F34" s="46"/>
      <c r="G34" s="45"/>
      <c r="H34" s="45"/>
      <c r="I34" s="45"/>
    </row>
    <row r="35" spans="1:9" ht="15" customHeight="1" x14ac:dyDescent="0.35">
      <c r="A35" s="17"/>
      <c r="B35" s="45"/>
      <c r="C35" s="9" t="s">
        <v>24</v>
      </c>
      <c r="D35" s="45"/>
      <c r="E35" s="45"/>
      <c r="F35" s="46"/>
      <c r="G35" s="45"/>
      <c r="H35" s="45"/>
      <c r="I35" s="45"/>
    </row>
    <row r="36" spans="1:9" x14ac:dyDescent="0.35">
      <c r="A36" s="17"/>
      <c r="B36" s="45"/>
      <c r="D36" s="45"/>
      <c r="E36" s="45"/>
      <c r="F36" s="46"/>
      <c r="G36" s="45"/>
      <c r="H36" s="45"/>
      <c r="I36" s="45"/>
    </row>
    <row r="41" spans="1:9" ht="15" customHeight="1" x14ac:dyDescent="0.35">
      <c r="B41" s="45"/>
      <c r="C41" s="9" t="s">
        <v>30</v>
      </c>
      <c r="D41" s="45"/>
      <c r="E41" s="45"/>
      <c r="F41" s="46"/>
      <c r="G41" s="45"/>
      <c r="H41" s="45"/>
      <c r="I41" s="45"/>
    </row>
    <row r="42" spans="1:9" ht="15" customHeight="1" x14ac:dyDescent="0.35">
      <c r="B42" s="45"/>
      <c r="C42" s="9" t="s">
        <v>37</v>
      </c>
      <c r="D42" s="45"/>
      <c r="E42" s="45"/>
      <c r="F42" s="46"/>
      <c r="G42" s="45"/>
      <c r="H42" s="45"/>
      <c r="I42" s="45"/>
    </row>
    <row r="43" spans="1:9" ht="15" customHeight="1" x14ac:dyDescent="0.35">
      <c r="B43" s="45"/>
      <c r="C43" s="9" t="s">
        <v>31</v>
      </c>
      <c r="D43" s="45"/>
      <c r="E43" s="45"/>
      <c r="F43" s="46"/>
      <c r="G43" s="45"/>
      <c r="H43" s="45"/>
      <c r="I43" s="45"/>
    </row>
    <row r="44" spans="1:9" ht="15" customHeight="1" x14ac:dyDescent="0.35">
      <c r="B44" s="45"/>
      <c r="C44" s="9" t="s">
        <v>32</v>
      </c>
      <c r="D44" s="45"/>
      <c r="E44" s="45"/>
      <c r="F44" s="46"/>
      <c r="G44" s="45"/>
      <c r="H44" s="45"/>
      <c r="I44" s="45"/>
    </row>
    <row r="45" spans="1:9" ht="15" customHeight="1" x14ac:dyDescent="0.35">
      <c r="B45" s="45"/>
      <c r="C45" s="9" t="s">
        <v>33</v>
      </c>
      <c r="D45" s="45"/>
      <c r="E45" s="45"/>
      <c r="F45" s="46"/>
      <c r="G45" s="45"/>
      <c r="H45" s="45"/>
      <c r="I45" s="45"/>
    </row>
    <row r="46" spans="1:9" ht="15" customHeight="1" x14ac:dyDescent="0.35">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topLeftCell="A6" workbookViewId="0">
      <selection activeCell="D8" sqref="D8"/>
    </sheetView>
  </sheetViews>
  <sheetFormatPr defaultColWidth="8.90625" defaultRowHeight="14.5" x14ac:dyDescent="0.35"/>
  <cols>
    <col min="1" max="1" width="12.6328125" style="18" customWidth="1"/>
    <col min="2" max="2" width="82.90625" style="1" customWidth="1"/>
    <col min="3" max="3" width="13.36328125" style="1" customWidth="1"/>
    <col min="4" max="4" width="13.36328125" style="4" customWidth="1"/>
    <col min="5" max="5" width="2.36328125" style="1" customWidth="1"/>
    <col min="6" max="7" width="13.36328125" style="1" customWidth="1"/>
    <col min="8" max="16384" width="8.90625" style="1"/>
  </cols>
  <sheetData>
    <row r="1" spans="1:8" ht="60" customHeight="1" x14ac:dyDescent="0.35">
      <c r="A1" s="18" t="s">
        <v>38</v>
      </c>
      <c r="B1" s="45"/>
      <c r="C1" s="80"/>
      <c r="D1" s="92"/>
      <c r="E1" s="92"/>
      <c r="F1" s="92"/>
      <c r="G1" s="92"/>
      <c r="H1" s="45"/>
    </row>
    <row r="2" spans="1:8" ht="15" customHeight="1" x14ac:dyDescent="0.35">
      <c r="A2" s="16" t="s">
        <v>39</v>
      </c>
      <c r="B2" s="45"/>
      <c r="C2" s="7" t="s">
        <v>1</v>
      </c>
      <c r="D2" s="8" t="s">
        <v>2</v>
      </c>
      <c r="E2" s="47"/>
      <c r="F2" s="11" t="s">
        <v>3</v>
      </c>
      <c r="G2" s="8" t="s">
        <v>2</v>
      </c>
      <c r="H2" s="5"/>
    </row>
    <row r="3" spans="1:8" ht="15" customHeight="1" x14ac:dyDescent="0.35">
      <c r="A3" s="16" t="s">
        <v>40</v>
      </c>
      <c r="B3" s="45"/>
      <c r="C3" s="116" t="s">
        <v>4</v>
      </c>
      <c r="D3" s="117">
        <v>50</v>
      </c>
      <c r="E3" s="47"/>
      <c r="F3" s="118" t="s">
        <v>5</v>
      </c>
      <c r="G3" s="117">
        <v>50</v>
      </c>
      <c r="H3" s="5"/>
    </row>
    <row r="4" spans="1:8" ht="15" customHeight="1" x14ac:dyDescent="0.35">
      <c r="A4" s="100" t="s">
        <v>179</v>
      </c>
      <c r="B4" s="45"/>
      <c r="C4" s="116" t="s">
        <v>6</v>
      </c>
      <c r="D4" s="117">
        <v>20</v>
      </c>
      <c r="E4" s="47"/>
      <c r="F4" s="118" t="s">
        <v>7</v>
      </c>
      <c r="G4" s="117">
        <v>30</v>
      </c>
      <c r="H4" s="5"/>
    </row>
    <row r="5" spans="1:8" s="4" customFormat="1" ht="15" customHeight="1" x14ac:dyDescent="0.35">
      <c r="A5" s="100" t="s">
        <v>180</v>
      </c>
      <c r="B5" s="46"/>
      <c r="C5" s="116" t="s">
        <v>8</v>
      </c>
      <c r="D5" s="117">
        <v>60</v>
      </c>
      <c r="E5" s="47"/>
      <c r="F5" s="118" t="s">
        <v>9</v>
      </c>
      <c r="G5" s="117">
        <v>10</v>
      </c>
      <c r="H5" s="5"/>
    </row>
    <row r="6" spans="1:8" s="4" customFormat="1" ht="15" customHeight="1" x14ac:dyDescent="0.35">
      <c r="A6" s="100" t="s">
        <v>181</v>
      </c>
      <c r="B6" s="46"/>
      <c r="C6" s="116" t="s">
        <v>10</v>
      </c>
      <c r="D6" s="117">
        <v>40</v>
      </c>
      <c r="E6" s="47"/>
      <c r="F6" s="118" t="s">
        <v>11</v>
      </c>
      <c r="G6" s="117">
        <v>50</v>
      </c>
      <c r="H6" s="5"/>
    </row>
    <row r="7" spans="1:8" s="4" customFormat="1" ht="15" customHeight="1" x14ac:dyDescent="0.35">
      <c r="A7" s="101" t="s">
        <v>35</v>
      </c>
      <c r="B7" s="46"/>
      <c r="C7" s="10" t="s">
        <v>302</v>
      </c>
      <c r="D7" s="115">
        <f>MIN(D3:D6)</f>
        <v>20</v>
      </c>
      <c r="E7" s="47"/>
      <c r="F7" s="10" t="s">
        <v>303</v>
      </c>
      <c r="G7" s="115">
        <f>MAX(G3:G6)</f>
        <v>50</v>
      </c>
      <c r="H7" s="5"/>
    </row>
    <row r="8" spans="1:8" s="4" customFormat="1" ht="15" customHeight="1" x14ac:dyDescent="0.35">
      <c r="A8" s="17" t="s">
        <v>182</v>
      </c>
      <c r="B8" s="46"/>
      <c r="C8" s="46"/>
      <c r="D8" s="47"/>
      <c r="E8" s="47"/>
      <c r="F8" s="46"/>
      <c r="G8" s="47"/>
      <c r="H8" s="5"/>
    </row>
    <row r="9" spans="1:8" s="4" customFormat="1" ht="15" customHeight="1" x14ac:dyDescent="0.35">
      <c r="A9" s="17" t="s">
        <v>183</v>
      </c>
      <c r="B9" s="46"/>
      <c r="C9" s="7" t="s">
        <v>12</v>
      </c>
      <c r="D9" s="8" t="s">
        <v>2</v>
      </c>
      <c r="E9" s="47"/>
      <c r="F9" s="11" t="s">
        <v>12</v>
      </c>
      <c r="G9" s="8" t="s">
        <v>2</v>
      </c>
      <c r="H9" s="5"/>
    </row>
    <row r="10" spans="1:8" s="4" customFormat="1" ht="15" customHeight="1" x14ac:dyDescent="0.35">
      <c r="A10" s="16" t="s">
        <v>33</v>
      </c>
      <c r="B10" s="46"/>
      <c r="C10" s="116" t="s">
        <v>13</v>
      </c>
      <c r="D10" s="117">
        <v>50</v>
      </c>
      <c r="E10" s="47"/>
      <c r="F10" s="118" t="s">
        <v>13</v>
      </c>
      <c r="G10" s="117">
        <v>50</v>
      </c>
      <c r="H10" s="5"/>
    </row>
    <row r="11" spans="1:8" s="4" customFormat="1" ht="15" customHeight="1" x14ac:dyDescent="0.35">
      <c r="A11" s="101" t="s">
        <v>273</v>
      </c>
      <c r="B11" s="46"/>
      <c r="C11" s="116" t="s">
        <v>14</v>
      </c>
      <c r="D11" s="117">
        <v>100</v>
      </c>
      <c r="E11" s="47"/>
      <c r="F11" s="118" t="s">
        <v>14</v>
      </c>
      <c r="G11" s="117">
        <v>100</v>
      </c>
      <c r="H11" s="5"/>
    </row>
    <row r="12" spans="1:8" s="4" customFormat="1" ht="15" customHeight="1" x14ac:dyDescent="0.35">
      <c r="A12" s="17"/>
      <c r="B12" s="46"/>
      <c r="C12" s="116" t="s">
        <v>15</v>
      </c>
      <c r="D12" s="117">
        <v>40</v>
      </c>
      <c r="E12" s="47"/>
      <c r="F12" s="118" t="s">
        <v>15</v>
      </c>
      <c r="G12" s="117">
        <v>40</v>
      </c>
      <c r="H12" s="5"/>
    </row>
    <row r="13" spans="1:8" s="4" customFormat="1" ht="15" customHeight="1" x14ac:dyDescent="0.35">
      <c r="A13" s="17"/>
      <c r="B13" s="46"/>
      <c r="C13" s="116" t="s">
        <v>16</v>
      </c>
      <c r="D13" s="117">
        <v>50</v>
      </c>
      <c r="E13" s="47"/>
      <c r="F13" s="118" t="s">
        <v>16</v>
      </c>
      <c r="G13" s="117">
        <v>50</v>
      </c>
      <c r="H13" s="5"/>
    </row>
    <row r="14" spans="1:8" s="4" customFormat="1" ht="15" customHeight="1" x14ac:dyDescent="0.35">
      <c r="A14" s="17"/>
      <c r="B14" s="46"/>
      <c r="C14" s="116" t="s">
        <v>17</v>
      </c>
      <c r="D14" s="117">
        <v>20</v>
      </c>
      <c r="E14" s="47"/>
      <c r="F14" s="118" t="s">
        <v>17</v>
      </c>
      <c r="G14" s="117">
        <v>20</v>
      </c>
      <c r="H14" s="46"/>
    </row>
    <row r="15" spans="1:8" s="4" customFormat="1" ht="15" customHeight="1" x14ac:dyDescent="0.35">
      <c r="A15" s="18"/>
      <c r="B15" s="46"/>
      <c r="C15" s="10" t="s">
        <v>304</v>
      </c>
      <c r="D15" s="115">
        <f>MIN(D10:D14)</f>
        <v>20</v>
      </c>
      <c r="E15" s="47"/>
      <c r="F15" s="10"/>
      <c r="G15" s="115">
        <f>MIN(G10:G14,10)</f>
        <v>10</v>
      </c>
      <c r="H15" s="46"/>
    </row>
    <row r="16" spans="1:8" s="4" customFormat="1" ht="15" customHeight="1" x14ac:dyDescent="0.35">
      <c r="A16" s="18"/>
      <c r="B16" s="46"/>
      <c r="C16" s="46"/>
      <c r="D16" s="46"/>
      <c r="E16" s="46"/>
      <c r="F16" s="46"/>
      <c r="G16" s="46"/>
      <c r="H16" s="46"/>
    </row>
    <row r="17" spans="1:1" s="4" customFormat="1" ht="15" customHeight="1" x14ac:dyDescent="0.35">
      <c r="A17" s="18"/>
    </row>
    <row r="18" spans="1:1" s="4" customFormat="1" ht="15" customHeight="1" x14ac:dyDescent="0.35">
      <c r="A18" s="19"/>
    </row>
    <row r="19" spans="1:1" s="4" customFormat="1" ht="15" customHeight="1" x14ac:dyDescent="0.35">
      <c r="A19" s="16" t="s">
        <v>41</v>
      </c>
    </row>
    <row r="20" spans="1:1" s="4" customFormat="1" ht="15" customHeight="1" x14ac:dyDescent="0.35">
      <c r="A20" s="18"/>
    </row>
    <row r="21" spans="1:1" s="4" customFormat="1" ht="15" customHeight="1" x14ac:dyDescent="0.35">
      <c r="A21" s="16" t="s">
        <v>30</v>
      </c>
    </row>
    <row r="22" spans="1:1" s="4" customFormat="1" ht="15" customHeight="1" x14ac:dyDescent="0.35">
      <c r="A22" s="16" t="s">
        <v>42</v>
      </c>
    </row>
    <row r="23" spans="1:1" s="4" customFormat="1" ht="15" customHeight="1" x14ac:dyDescent="0.35">
      <c r="A23" s="16" t="s">
        <v>43</v>
      </c>
    </row>
    <row r="24" spans="1:1" s="4" customFormat="1" ht="15" customHeight="1" x14ac:dyDescent="0.35">
      <c r="A24" s="16" t="s">
        <v>32</v>
      </c>
    </row>
    <row r="25" spans="1:1" s="4" customFormat="1" ht="15" customHeight="1" x14ac:dyDescent="0.35">
      <c r="A25" s="16" t="s">
        <v>33</v>
      </c>
    </row>
    <row r="27" spans="1:1" ht="15" customHeight="1" x14ac:dyDescent="0.35"/>
    <row r="28" spans="1:1" ht="15" customHeight="1" x14ac:dyDescent="0.35"/>
    <row r="29" spans="1:1" ht="15" customHeight="1" x14ac:dyDescent="0.35"/>
    <row r="30" spans="1:1" ht="15" customHeight="1" x14ac:dyDescent="0.35"/>
    <row r="31" spans="1:1" ht="15" customHeight="1" x14ac:dyDescent="0.35"/>
    <row r="32" spans="1:1" ht="15" customHeight="1" x14ac:dyDescent="0.35"/>
    <row r="33" spans="3:7" ht="15" customHeight="1" x14ac:dyDescent="0.35">
      <c r="C33" s="45"/>
      <c r="D33" s="46"/>
      <c r="E33" s="45"/>
      <c r="F33" s="45"/>
      <c r="G33" s="45"/>
    </row>
    <row r="39" spans="3:7" ht="15" customHeight="1" x14ac:dyDescent="0.35">
      <c r="C39" s="45"/>
      <c r="D39" s="46"/>
      <c r="E39" s="45"/>
      <c r="F39" s="45"/>
      <c r="G39" s="45"/>
    </row>
    <row r="40" spans="3:7" ht="15" customHeight="1" x14ac:dyDescent="0.35">
      <c r="C40" s="45"/>
      <c r="D40" s="46"/>
      <c r="E40" s="45"/>
      <c r="F40" s="45"/>
      <c r="G40" s="45"/>
    </row>
    <row r="41" spans="3:7" ht="15" customHeight="1" x14ac:dyDescent="0.35">
      <c r="C41" s="45"/>
      <c r="D41" s="46"/>
      <c r="E41" s="45"/>
      <c r="F41" s="45"/>
      <c r="G41" s="45"/>
    </row>
    <row r="42" spans="3:7" ht="15" customHeight="1" x14ac:dyDescent="0.35">
      <c r="C42" s="45"/>
      <c r="D42" s="46"/>
      <c r="E42" s="45"/>
      <c r="F42" s="45"/>
      <c r="G42" s="45"/>
    </row>
    <row r="43" spans="3:7" ht="15" customHeight="1" x14ac:dyDescent="0.35">
      <c r="C43" s="45"/>
      <c r="D43" s="46"/>
      <c r="E43" s="45"/>
      <c r="F43" s="45"/>
      <c r="G43" s="45"/>
    </row>
    <row r="44" spans="3:7" ht="15" customHeight="1" x14ac:dyDescent="0.35">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topLeftCell="A18" workbookViewId="0">
      <selection activeCell="D23" sqref="D23"/>
    </sheetView>
  </sheetViews>
  <sheetFormatPr defaultRowHeight="14.5" x14ac:dyDescent="0.35"/>
  <cols>
    <col min="1" max="1" width="12.6328125" customWidth="1"/>
    <col min="2" max="2" width="82.90625" customWidth="1"/>
    <col min="3" max="3" width="23" bestFit="1" customWidth="1"/>
    <col min="4" max="4" width="15.08984375" customWidth="1"/>
  </cols>
  <sheetData>
    <row r="1" spans="1:6" ht="60" customHeight="1" x14ac:dyDescent="0.35">
      <c r="A1" s="29" t="s">
        <v>87</v>
      </c>
    </row>
    <row r="2" spans="1:6" x14ac:dyDescent="0.35">
      <c r="A2" s="29" t="s">
        <v>184</v>
      </c>
    </row>
    <row r="3" spans="1:6" ht="32.5" x14ac:dyDescent="0.35">
      <c r="A3" s="29" t="s">
        <v>185</v>
      </c>
      <c r="C3" s="80"/>
      <c r="D3" s="93"/>
    </row>
    <row r="4" spans="1:6" x14ac:dyDescent="0.35">
      <c r="A4" s="29" t="s">
        <v>186</v>
      </c>
    </row>
    <row r="5" spans="1:6" x14ac:dyDescent="0.35">
      <c r="A5" s="29" t="s">
        <v>187</v>
      </c>
      <c r="C5" s="32" t="s">
        <v>87</v>
      </c>
      <c r="D5" s="32"/>
    </row>
    <row r="6" spans="1:6" ht="16.5" customHeight="1" x14ac:dyDescent="0.45">
      <c r="A6" s="29" t="s">
        <v>188</v>
      </c>
      <c r="C6" s="109" t="s">
        <v>55</v>
      </c>
      <c r="D6" s="119">
        <f ca="1">TODAY()</f>
        <v>46159</v>
      </c>
      <c r="F6" s="102" t="str">
        <f ca="1">IF(D6=TODAY(),"You got it!","")</f>
        <v>You got it!</v>
      </c>
    </row>
    <row r="7" spans="1:6" ht="16.5" customHeight="1" thickBot="1" x14ac:dyDescent="0.4">
      <c r="A7" s="31" t="s">
        <v>275</v>
      </c>
      <c r="C7" s="109" t="s">
        <v>85</v>
      </c>
      <c r="D7" s="119"/>
    </row>
    <row r="8" spans="1:6" ht="16.5" customHeight="1" thickTop="1" thickBot="1" x14ac:dyDescent="0.4">
      <c r="A8" s="29" t="s">
        <v>88</v>
      </c>
      <c r="C8" s="109" t="s">
        <v>86</v>
      </c>
      <c r="D8" s="120">
        <f ca="1">D7-D6</f>
        <v>-46159</v>
      </c>
    </row>
    <row r="9" spans="1:6" ht="15" thickTop="1" x14ac:dyDescent="0.35">
      <c r="A9" s="29" t="s">
        <v>189</v>
      </c>
    </row>
    <row r="10" spans="1:6" ht="15" customHeight="1" thickBot="1" x14ac:dyDescent="0.4">
      <c r="A10" s="31" t="s">
        <v>314</v>
      </c>
      <c r="C10" s="109" t="s">
        <v>97</v>
      </c>
      <c r="D10" s="121"/>
    </row>
    <row r="11" spans="1:6" ht="15" customHeight="1" thickTop="1" thickBot="1" x14ac:dyDescent="0.4">
      <c r="A11" s="31" t="s">
        <v>315</v>
      </c>
      <c r="C11" s="109" t="s">
        <v>96</v>
      </c>
      <c r="D11" s="122">
        <f ca="1">D6+D10</f>
        <v>46159</v>
      </c>
    </row>
    <row r="12" spans="1:6" ht="15" thickTop="1" x14ac:dyDescent="0.35">
      <c r="A12" s="29" t="s">
        <v>274</v>
      </c>
    </row>
    <row r="13" spans="1:6" x14ac:dyDescent="0.35">
      <c r="A13" s="29" t="s">
        <v>146</v>
      </c>
    </row>
    <row r="14" spans="1:6" x14ac:dyDescent="0.35">
      <c r="A14" s="29" t="s">
        <v>147</v>
      </c>
    </row>
    <row r="15" spans="1:6" x14ac:dyDescent="0.35">
      <c r="A15" s="29" t="s">
        <v>30</v>
      </c>
    </row>
    <row r="16" spans="1:6" x14ac:dyDescent="0.35">
      <c r="A16" s="29" t="s">
        <v>190</v>
      </c>
    </row>
    <row r="17" spans="1:4" x14ac:dyDescent="0.35">
      <c r="A17" s="29" t="s">
        <v>191</v>
      </c>
    </row>
    <row r="18" spans="1:4" x14ac:dyDescent="0.35">
      <c r="A18" s="29" t="s">
        <v>192</v>
      </c>
    </row>
    <row r="19" spans="1:4" x14ac:dyDescent="0.35">
      <c r="A19" s="29" t="s">
        <v>33</v>
      </c>
    </row>
    <row r="25" spans="1:4" ht="15" customHeight="1" x14ac:dyDescent="0.35">
      <c r="C25" s="80"/>
      <c r="D25" s="93"/>
    </row>
    <row r="27" spans="1:4" x14ac:dyDescent="0.35">
      <c r="C27" s="32" t="s">
        <v>88</v>
      </c>
      <c r="D27" s="32"/>
    </row>
    <row r="28" spans="1:4" x14ac:dyDescent="0.35">
      <c r="C28" s="109" t="s">
        <v>89</v>
      </c>
      <c r="D28" s="123">
        <f ca="1">NOW()</f>
        <v>46159.66867337963</v>
      </c>
    </row>
    <row r="31" spans="1:4" x14ac:dyDescent="0.35">
      <c r="C31" s="32" t="s">
        <v>94</v>
      </c>
      <c r="D31" s="32"/>
    </row>
    <row r="32" spans="1:4" x14ac:dyDescent="0.35">
      <c r="C32" s="109" t="s">
        <v>90</v>
      </c>
      <c r="D32" s="124">
        <v>0.33333333333333331</v>
      </c>
    </row>
    <row r="33" spans="3:4" x14ac:dyDescent="0.35">
      <c r="C33" s="109" t="s">
        <v>92</v>
      </c>
      <c r="D33" s="124">
        <v>0.5</v>
      </c>
    </row>
    <row r="34" spans="3:4" x14ac:dyDescent="0.35">
      <c r="C34" s="109" t="s">
        <v>93</v>
      </c>
      <c r="D34" s="124">
        <v>0.54166666666666663</v>
      </c>
    </row>
    <row r="35" spans="3:4" ht="15" thickBot="1" x14ac:dyDescent="0.4">
      <c r="C35" s="109" t="s">
        <v>91</v>
      </c>
      <c r="D35" s="124">
        <v>0.70833333333333337</v>
      </c>
    </row>
    <row r="36" spans="3:4" ht="15.5" thickTop="1" thickBot="1" x14ac:dyDescent="0.4">
      <c r="C36" s="109" t="s">
        <v>95</v>
      </c>
      <c r="D36" s="120">
        <f>((D35-D32)-(D34-D33))*24</f>
        <v>8.0000000000000018</v>
      </c>
    </row>
    <row r="37" spans="3:4" ht="15" thickTop="1" x14ac:dyDescent="0.35"/>
    <row r="45" spans="3:4" x14ac:dyDescent="0.35">
      <c r="C45" s="32" t="s">
        <v>98</v>
      </c>
      <c r="D45" s="32"/>
    </row>
    <row r="46" spans="3:4" x14ac:dyDescent="0.35">
      <c r="C46" s="125" t="s">
        <v>99</v>
      </c>
      <c r="D46" s="126">
        <v>43005</v>
      </c>
    </row>
    <row r="47" spans="3:4" x14ac:dyDescent="0.35">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topLeftCell="A35" zoomScaleNormal="100" workbookViewId="0">
      <selection activeCell="E58" sqref="E58"/>
    </sheetView>
  </sheetViews>
  <sheetFormatPr defaultRowHeight="14.5" x14ac:dyDescent="0.35"/>
  <cols>
    <col min="1" max="1" width="12.6328125" style="29" customWidth="1"/>
    <col min="2" max="2" width="82.90625" customWidth="1"/>
    <col min="3" max="3" width="16.36328125" customWidth="1"/>
    <col min="4" max="4" width="15" customWidth="1"/>
    <col min="5" max="5" width="21" bestFit="1" customWidth="1"/>
    <col min="6" max="6" width="18.36328125" customWidth="1"/>
  </cols>
  <sheetData>
    <row r="1" spans="1:6" ht="60" customHeight="1" x14ac:dyDescent="0.35">
      <c r="A1" s="29" t="s">
        <v>193</v>
      </c>
      <c r="C1" s="80"/>
      <c r="D1" s="93"/>
      <c r="E1" s="93"/>
      <c r="F1" s="93"/>
    </row>
    <row r="2" spans="1:6" x14ac:dyDescent="0.35">
      <c r="A2" s="29" t="s">
        <v>194</v>
      </c>
      <c r="C2" s="7" t="s">
        <v>101</v>
      </c>
      <c r="D2" s="7" t="s">
        <v>102</v>
      </c>
      <c r="E2" s="7" t="s">
        <v>103</v>
      </c>
      <c r="F2" s="7" t="s">
        <v>120</v>
      </c>
    </row>
    <row r="3" spans="1:6" x14ac:dyDescent="0.35">
      <c r="A3" s="29" t="s">
        <v>195</v>
      </c>
      <c r="C3" s="109" t="s">
        <v>104</v>
      </c>
      <c r="D3" s="109" t="s">
        <v>105</v>
      </c>
      <c r="E3" s="121" t="str">
        <f>D3&amp;", "&amp;C3</f>
        <v>Smith, Nancy</v>
      </c>
      <c r="F3" s="63" t="str">
        <f>C3&amp;" "&amp;D3</f>
        <v>Nancy Smith</v>
      </c>
    </row>
    <row r="4" spans="1:6" x14ac:dyDescent="0.35">
      <c r="A4" s="29" t="s">
        <v>196</v>
      </c>
      <c r="C4" s="109" t="s">
        <v>106</v>
      </c>
      <c r="D4" s="109" t="s">
        <v>107</v>
      </c>
      <c r="E4" s="121"/>
      <c r="F4" s="63"/>
    </row>
    <row r="5" spans="1:6" x14ac:dyDescent="0.35">
      <c r="A5" s="29" t="s">
        <v>197</v>
      </c>
      <c r="C5" s="109" t="s">
        <v>108</v>
      </c>
      <c r="D5" s="109" t="s">
        <v>109</v>
      </c>
      <c r="E5" s="121"/>
      <c r="F5" s="63"/>
    </row>
    <row r="6" spans="1:6" x14ac:dyDescent="0.35">
      <c r="A6" s="29" t="s">
        <v>136</v>
      </c>
      <c r="C6" s="109" t="s">
        <v>110</v>
      </c>
      <c r="D6" s="109" t="s">
        <v>111</v>
      </c>
      <c r="E6" s="121"/>
      <c r="F6" s="63"/>
    </row>
    <row r="7" spans="1:6" x14ac:dyDescent="0.35">
      <c r="A7" s="29" t="s">
        <v>147</v>
      </c>
      <c r="C7" s="109" t="s">
        <v>112</v>
      </c>
      <c r="D7" s="109" t="s">
        <v>113</v>
      </c>
      <c r="E7" s="121"/>
      <c r="F7" s="63"/>
    </row>
    <row r="8" spans="1:6" x14ac:dyDescent="0.35">
      <c r="A8" s="29" t="s">
        <v>57</v>
      </c>
      <c r="C8" s="109" t="s">
        <v>114</v>
      </c>
      <c r="D8" s="109" t="s">
        <v>115</v>
      </c>
      <c r="E8" s="121"/>
      <c r="F8" s="63"/>
    </row>
    <row r="9" spans="1:6" x14ac:dyDescent="0.35">
      <c r="A9" s="29" t="s">
        <v>198</v>
      </c>
      <c r="C9" s="109" t="s">
        <v>116</v>
      </c>
      <c r="D9" s="109" t="s">
        <v>117</v>
      </c>
      <c r="E9" s="121"/>
      <c r="F9" s="63"/>
    </row>
    <row r="10" spans="1:6" x14ac:dyDescent="0.35">
      <c r="A10" s="29" t="s">
        <v>199</v>
      </c>
      <c r="C10" s="109" t="s">
        <v>118</v>
      </c>
      <c r="D10" s="109" t="s">
        <v>119</v>
      </c>
      <c r="E10" s="121"/>
      <c r="F10" s="63"/>
    </row>
    <row r="11" spans="1:6" x14ac:dyDescent="0.35">
      <c r="A11" s="29" t="s">
        <v>200</v>
      </c>
    </row>
    <row r="12" spans="1:6" x14ac:dyDescent="0.35">
      <c r="A12" s="29" t="s">
        <v>201</v>
      </c>
    </row>
    <row r="13" spans="1:6" x14ac:dyDescent="0.35">
      <c r="A13" s="29" t="s">
        <v>316</v>
      </c>
    </row>
    <row r="14" spans="1:6" x14ac:dyDescent="0.35">
      <c r="A14" s="29" t="s">
        <v>30</v>
      </c>
    </row>
    <row r="15" spans="1:6" x14ac:dyDescent="0.35">
      <c r="A15" s="29" t="s">
        <v>202</v>
      </c>
    </row>
    <row r="16" spans="1:6" x14ac:dyDescent="0.35">
      <c r="A16" s="29" t="s">
        <v>203</v>
      </c>
    </row>
    <row r="17" spans="1:4" x14ac:dyDescent="0.35">
      <c r="A17" s="29" t="s">
        <v>33</v>
      </c>
    </row>
    <row r="21" spans="1:4" x14ac:dyDescent="0.35">
      <c r="D21" s="12"/>
    </row>
    <row r="27" spans="1:4" x14ac:dyDescent="0.35">
      <c r="C27" s="32" t="s">
        <v>58</v>
      </c>
      <c r="D27" s="32"/>
    </row>
    <row r="28" spans="1:4" x14ac:dyDescent="0.35">
      <c r="C28" s="109" t="s">
        <v>55</v>
      </c>
      <c r="D28" s="119">
        <f ca="1">TODAY()</f>
        <v>46159</v>
      </c>
    </row>
    <row r="29" spans="1:4" x14ac:dyDescent="0.35">
      <c r="C29" s="109" t="s">
        <v>56</v>
      </c>
      <c r="D29" s="128">
        <f ca="1">NOW()</f>
        <v>46159.66867337963</v>
      </c>
    </row>
    <row r="31" spans="1:4" x14ac:dyDescent="0.35">
      <c r="C31" s="32" t="s">
        <v>59</v>
      </c>
      <c r="D31" s="32"/>
    </row>
    <row r="32" spans="1:4" x14ac:dyDescent="0.35">
      <c r="C32" s="109" t="str">
        <f ca="1">C28&amp;" "&amp;D28</f>
        <v>Today's date: 46159</v>
      </c>
      <c r="D32" s="109"/>
    </row>
    <row r="33" spans="3:4" x14ac:dyDescent="0.35">
      <c r="C33" s="109" t="str">
        <f ca="1">C29&amp;" "&amp;D29</f>
        <v>Current time: 46159.6686733796</v>
      </c>
      <c r="D33" s="109"/>
    </row>
    <row r="35" spans="3:4" x14ac:dyDescent="0.35">
      <c r="C35" s="32" t="s">
        <v>60</v>
      </c>
      <c r="D35" s="32"/>
    </row>
    <row r="36" spans="3:4" x14ac:dyDescent="0.35">
      <c r="C36" s="63" t="str">
        <f ca="1">C28 &amp;" "&amp; TEXT(D28,"MM/DD/YYYY")</f>
        <v>Today's date: 05/17/2026</v>
      </c>
      <c r="D36" s="63"/>
    </row>
    <row r="37" spans="3:4" x14ac:dyDescent="0.35">
      <c r="C37" s="63" t="str">
        <f ca="1">C29&amp;" "&amp;TEXT(D29,"HH:MM AM/PM")</f>
        <v>Current time: 04:02 PM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tabSelected="1" topLeftCell="A34" zoomScale="91" workbookViewId="0">
      <selection activeCell="C7" sqref="C7"/>
    </sheetView>
  </sheetViews>
  <sheetFormatPr defaultRowHeight="14.5" x14ac:dyDescent="0.35"/>
  <cols>
    <col min="1" max="1" width="12.6328125" customWidth="1"/>
    <col min="2" max="2" width="82.90625" customWidth="1"/>
    <col min="3" max="3" width="17.08984375" customWidth="1"/>
    <col min="4" max="4" width="26.08984375" bestFit="1" customWidth="1"/>
  </cols>
  <sheetData>
    <row r="1" spans="1:6" ht="60" customHeight="1" x14ac:dyDescent="0.35">
      <c r="A1" s="29" t="s">
        <v>61</v>
      </c>
      <c r="D1" s="93"/>
    </row>
    <row r="2" spans="1:6" x14ac:dyDescent="0.35">
      <c r="A2" s="29" t="s">
        <v>204</v>
      </c>
      <c r="E2" s="36"/>
      <c r="F2" s="36"/>
    </row>
    <row r="3" spans="1:6" ht="15" customHeight="1" x14ac:dyDescent="0.35">
      <c r="A3" s="31" t="s">
        <v>276</v>
      </c>
      <c r="E3" s="36"/>
      <c r="F3" s="36"/>
    </row>
    <row r="4" spans="1:6" ht="15" customHeight="1" x14ac:dyDescent="0.35">
      <c r="A4" s="31" t="s">
        <v>277</v>
      </c>
      <c r="E4" s="36"/>
      <c r="F4" s="36"/>
    </row>
    <row r="5" spans="1:6" ht="15" customHeight="1" x14ac:dyDescent="0.35">
      <c r="A5" s="31" t="s">
        <v>313</v>
      </c>
      <c r="C5" s="103"/>
      <c r="E5" s="36"/>
      <c r="F5" s="36"/>
    </row>
    <row r="6" spans="1:6" x14ac:dyDescent="0.35">
      <c r="A6" s="29" t="s">
        <v>205</v>
      </c>
      <c r="E6" s="36"/>
      <c r="F6" s="36"/>
    </row>
    <row r="7" spans="1:6" x14ac:dyDescent="0.35">
      <c r="A7" s="29" t="s">
        <v>136</v>
      </c>
      <c r="C7" s="35"/>
      <c r="D7" s="36"/>
      <c r="E7" s="36"/>
      <c r="F7" s="36"/>
    </row>
    <row r="8" spans="1:6" x14ac:dyDescent="0.35">
      <c r="A8" s="29" t="s">
        <v>147</v>
      </c>
      <c r="C8" s="35" t="s">
        <v>61</v>
      </c>
    </row>
    <row r="9" spans="1:6" x14ac:dyDescent="0.35">
      <c r="A9" s="29" t="s">
        <v>206</v>
      </c>
      <c r="C9" s="134" t="s">
        <v>121</v>
      </c>
      <c r="D9" s="133" t="b">
        <f>IF(C9="Apple",TRUE, FALSE)</f>
        <v>1</v>
      </c>
    </row>
    <row r="10" spans="1:6" x14ac:dyDescent="0.35">
      <c r="A10" s="29" t="s">
        <v>207</v>
      </c>
      <c r="C10" s="129" t="s">
        <v>122</v>
      </c>
      <c r="D10" s="55" t="b">
        <f>IF(C10="Apple",TRUE, FALSE)</f>
        <v>0</v>
      </c>
    </row>
    <row r="11" spans="1:6" ht="15" customHeight="1" thickBot="1" x14ac:dyDescent="0.4">
      <c r="A11" s="31" t="s">
        <v>278</v>
      </c>
      <c r="C11" s="36"/>
      <c r="D11" s="36"/>
    </row>
    <row r="12" spans="1:6" ht="15" customHeight="1" thickTop="1" thickBot="1" x14ac:dyDescent="0.4">
      <c r="A12" s="31" t="s">
        <v>279</v>
      </c>
      <c r="C12" s="61">
        <v>50</v>
      </c>
      <c r="D12" s="55" t="str">
        <f>IF(C12&lt;100,"Less than 100","Greater than or equal to 100")</f>
        <v>Less than 100</v>
      </c>
    </row>
    <row r="13" spans="1:6" ht="15" customHeight="1" thickTop="1" x14ac:dyDescent="0.35">
      <c r="A13" s="31" t="s">
        <v>280</v>
      </c>
    </row>
    <row r="14" spans="1:6" x14ac:dyDescent="0.35">
      <c r="A14" s="29" t="s">
        <v>208</v>
      </c>
    </row>
    <row r="15" spans="1:6" ht="15" customHeight="1" x14ac:dyDescent="0.35">
      <c r="A15" s="31" t="s">
        <v>281</v>
      </c>
    </row>
    <row r="16" spans="1:6" x14ac:dyDescent="0.35">
      <c r="A16" s="29" t="s">
        <v>146</v>
      </c>
    </row>
    <row r="17" spans="1:6" x14ac:dyDescent="0.35">
      <c r="A17" s="29" t="s">
        <v>147</v>
      </c>
    </row>
    <row r="18" spans="1:6" x14ac:dyDescent="0.35">
      <c r="A18" s="29" t="s">
        <v>30</v>
      </c>
      <c r="C18" s="12"/>
    </row>
    <row r="19" spans="1:6" x14ac:dyDescent="0.35">
      <c r="A19" s="29" t="s">
        <v>209</v>
      </c>
    </row>
    <row r="20" spans="1:6" x14ac:dyDescent="0.35">
      <c r="A20" s="29" t="s">
        <v>210</v>
      </c>
    </row>
    <row r="21" spans="1:6" x14ac:dyDescent="0.35">
      <c r="A21" s="29" t="s">
        <v>211</v>
      </c>
    </row>
    <row r="22" spans="1:6" x14ac:dyDescent="0.35">
      <c r="A22" s="29" t="s">
        <v>33</v>
      </c>
    </row>
    <row r="26" spans="1:6" ht="15" thickBot="1" x14ac:dyDescent="0.4"/>
    <row r="27" spans="1:6" ht="15" thickBot="1" x14ac:dyDescent="0.4">
      <c r="C27" s="71" t="s">
        <v>12</v>
      </c>
      <c r="D27" s="72" t="s">
        <v>63</v>
      </c>
      <c r="E27" s="72" t="s">
        <v>64</v>
      </c>
      <c r="F27" s="72" t="s">
        <v>65</v>
      </c>
    </row>
    <row r="28" spans="1:6" x14ac:dyDescent="0.35">
      <c r="C28" s="73" t="s">
        <v>66</v>
      </c>
      <c r="D28" s="73">
        <v>2</v>
      </c>
      <c r="E28" s="74">
        <v>9.7607115856835538</v>
      </c>
      <c r="F28" s="74">
        <f>'IF statements'!$E$28:$E$29*'IF statements'!$D$28:$D$29</f>
        <v>19.521423171367108</v>
      </c>
    </row>
    <row r="29" spans="1:6" ht="15" thickBot="1" x14ac:dyDescent="0.4">
      <c r="C29" s="64" t="s">
        <v>67</v>
      </c>
      <c r="D29" s="64">
        <v>3</v>
      </c>
      <c r="E29" s="65">
        <v>3.4189202461080024</v>
      </c>
      <c r="F29" s="65">
        <f>'IF statements'!$E$28:$E$29*'IF statements'!$D$28:$D$29</f>
        <v>10.256760738324008</v>
      </c>
    </row>
    <row r="30" spans="1:6" x14ac:dyDescent="0.35">
      <c r="C30" s="36"/>
      <c r="D30" s="36"/>
      <c r="E30" s="36"/>
      <c r="F30" s="36"/>
    </row>
    <row r="31" spans="1:6" x14ac:dyDescent="0.35">
      <c r="C31" s="36"/>
      <c r="D31" s="36" t="s">
        <v>68</v>
      </c>
      <c r="E31" s="37">
        <f>SUM('IF statements'!$E$28:$E$29)</f>
        <v>13.179631831791557</v>
      </c>
      <c r="F31" s="37">
        <f>SUM('IF statements'!F28:F29)</f>
        <v>29.778183909691116</v>
      </c>
    </row>
    <row r="32" spans="1:6" ht="15" thickBot="1" x14ac:dyDescent="0.4">
      <c r="C32" s="36"/>
      <c r="D32" s="36"/>
      <c r="E32" s="36"/>
      <c r="F32" s="36"/>
    </row>
    <row r="33" spans="3:6" ht="15.5" thickTop="1" thickBot="1" x14ac:dyDescent="0.4">
      <c r="C33" s="36"/>
      <c r="D33" s="36" t="s">
        <v>69</v>
      </c>
      <c r="E33" s="61" t="s">
        <v>62</v>
      </c>
      <c r="F33" s="38">
        <f>IF(E33="Yes",F31*SalesTax,0)</f>
        <v>2.456700172549517</v>
      </c>
    </row>
    <row r="34" spans="3:6" ht="15.5" thickTop="1" thickBot="1" x14ac:dyDescent="0.4">
      <c r="C34" s="36"/>
      <c r="D34" s="36"/>
      <c r="E34" s="36"/>
      <c r="F34" s="36"/>
    </row>
    <row r="35" spans="3:6" ht="15.5" thickTop="1" thickBot="1" x14ac:dyDescent="0.4">
      <c r="C35" s="36"/>
      <c r="D35" s="36" t="s">
        <v>123</v>
      </c>
      <c r="E35" s="61" t="s">
        <v>62</v>
      </c>
      <c r="F35" s="38">
        <f>IF(E35="Yes",SUM(D28:D29)*1.25,0)</f>
        <v>6.25</v>
      </c>
    </row>
    <row r="36" spans="3:6" ht="15" thickTop="1" x14ac:dyDescent="0.35"/>
    <row r="37" spans="3:6" x14ac:dyDescent="0.35">
      <c r="D37" s="36" t="s">
        <v>65</v>
      </c>
      <c r="E37" s="36"/>
      <c r="F37" s="37">
        <f>SUM(F33,F31,F35)</f>
        <v>38.484884082240633</v>
      </c>
    </row>
  </sheetData>
  <dataValidations disablePrompts="1"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43" sqref="D43"/>
    </sheetView>
  </sheetViews>
  <sheetFormatPr defaultColWidth="8.90625" defaultRowHeight="15" customHeight="1" x14ac:dyDescent="0.35"/>
  <cols>
    <col min="1" max="1" width="12.6328125" style="9" customWidth="1"/>
    <col min="2" max="2" width="82.90625" style="1" customWidth="1"/>
    <col min="3" max="3" width="13.36328125" style="1" customWidth="1"/>
    <col min="4" max="4" width="13.36328125" style="4" customWidth="1"/>
    <col min="5" max="5" width="2.36328125" style="1" customWidth="1"/>
    <col min="6" max="7" width="13.36328125" style="1" customWidth="1"/>
    <col min="8" max="16384" width="8.90625" style="1"/>
  </cols>
  <sheetData>
    <row r="1" spans="1:7" ht="60" customHeight="1" x14ac:dyDescent="0.35">
      <c r="A1" s="9" t="s">
        <v>70</v>
      </c>
      <c r="B1" s="45"/>
      <c r="D1" s="92"/>
      <c r="E1" s="92"/>
      <c r="F1" s="92"/>
      <c r="G1" s="92"/>
    </row>
    <row r="2" spans="1:7" ht="15" customHeight="1" x14ac:dyDescent="0.35">
      <c r="A2" s="9" t="s">
        <v>212</v>
      </c>
      <c r="B2" s="45"/>
    </row>
    <row r="3" spans="1:7" ht="15" customHeight="1" x14ac:dyDescent="0.35">
      <c r="A3" s="9" t="s">
        <v>213</v>
      </c>
      <c r="B3" s="45"/>
    </row>
    <row r="4" spans="1:7" ht="15" customHeight="1" x14ac:dyDescent="0.35">
      <c r="A4" s="9" t="s">
        <v>214</v>
      </c>
      <c r="B4" s="45"/>
    </row>
    <row r="5" spans="1:7" s="4" customFormat="1" ht="15" customHeight="1" x14ac:dyDescent="0.35">
      <c r="A5" s="26" t="s">
        <v>215</v>
      </c>
      <c r="B5" s="46"/>
    </row>
    <row r="6" spans="1:7" s="4" customFormat="1" ht="15" customHeight="1" x14ac:dyDescent="0.35">
      <c r="A6" s="26" t="s">
        <v>216</v>
      </c>
      <c r="B6" s="46"/>
    </row>
    <row r="7" spans="1:7" s="4" customFormat="1" ht="15" customHeight="1" x14ac:dyDescent="0.35">
      <c r="A7" s="26" t="s">
        <v>217</v>
      </c>
      <c r="B7" s="46"/>
    </row>
    <row r="8" spans="1:7" s="4" customFormat="1" ht="15" customHeight="1" x14ac:dyDescent="0.35">
      <c r="A8" s="99" t="s">
        <v>282</v>
      </c>
      <c r="B8" s="46"/>
    </row>
    <row r="9" spans="1:7" s="4" customFormat="1" ht="15" customHeight="1" x14ac:dyDescent="0.35">
      <c r="A9" s="99" t="s">
        <v>283</v>
      </c>
      <c r="B9" s="46"/>
    </row>
    <row r="10" spans="1:7" s="4" customFormat="1" ht="15" customHeight="1" x14ac:dyDescent="0.35">
      <c r="A10" s="26" t="s">
        <v>218</v>
      </c>
      <c r="B10" s="46"/>
    </row>
    <row r="11" spans="1:7" s="4" customFormat="1" ht="15" customHeight="1" x14ac:dyDescent="0.35">
      <c r="A11" s="26" t="s">
        <v>136</v>
      </c>
      <c r="B11" s="46"/>
    </row>
    <row r="12" spans="1:7" s="4" customFormat="1" ht="15" customHeight="1" x14ac:dyDescent="0.35">
      <c r="A12" s="26" t="s">
        <v>147</v>
      </c>
      <c r="B12" s="46"/>
    </row>
    <row r="13" spans="1:7" s="4" customFormat="1" ht="15" customHeight="1" x14ac:dyDescent="0.35">
      <c r="A13" s="26" t="s">
        <v>219</v>
      </c>
      <c r="B13" s="46"/>
      <c r="C13" s="103"/>
      <c r="D13" s="106"/>
      <c r="E13" s="106"/>
      <c r="F13" s="106"/>
      <c r="G13" s="106"/>
    </row>
    <row r="14" spans="1:7" s="4" customFormat="1" ht="15" customHeight="1" x14ac:dyDescent="0.35">
      <c r="A14" s="26" t="s">
        <v>220</v>
      </c>
      <c r="B14" s="46"/>
      <c r="C14" s="106"/>
      <c r="D14" s="106"/>
      <c r="E14" s="106"/>
      <c r="F14" s="106"/>
      <c r="G14" s="106"/>
    </row>
    <row r="15" spans="1:7" s="4" customFormat="1" ht="15" customHeight="1" x14ac:dyDescent="0.35">
      <c r="A15" s="99" t="s">
        <v>284</v>
      </c>
      <c r="B15" s="46"/>
    </row>
    <row r="16" spans="1:7" s="4" customFormat="1" ht="15" customHeight="1" x14ac:dyDescent="0.35">
      <c r="A16" s="31" t="s">
        <v>285</v>
      </c>
      <c r="B16" s="46"/>
      <c r="C16" s="39" t="s">
        <v>1</v>
      </c>
      <c r="D16" s="34" t="s">
        <v>2</v>
      </c>
      <c r="E16" s="25"/>
      <c r="F16" s="33" t="s">
        <v>3</v>
      </c>
      <c r="G16" s="34" t="s">
        <v>2</v>
      </c>
    </row>
    <row r="17" spans="1:12" s="4" customFormat="1" ht="15" customHeight="1" x14ac:dyDescent="0.35">
      <c r="A17" s="26" t="s">
        <v>221</v>
      </c>
      <c r="C17" s="116" t="s">
        <v>4</v>
      </c>
      <c r="D17" s="117">
        <v>50</v>
      </c>
      <c r="E17" s="47"/>
      <c r="F17" s="118" t="s">
        <v>5</v>
      </c>
      <c r="G17" s="117">
        <v>50</v>
      </c>
      <c r="H17" s="46"/>
      <c r="I17" s="46"/>
      <c r="J17" s="46"/>
      <c r="K17" s="46"/>
      <c r="L17" s="46"/>
    </row>
    <row r="18" spans="1:12" s="4" customFormat="1" ht="15" customHeight="1" x14ac:dyDescent="0.35">
      <c r="A18" s="26" t="s">
        <v>146</v>
      </c>
      <c r="C18" s="116" t="s">
        <v>6</v>
      </c>
      <c r="D18" s="117">
        <v>20</v>
      </c>
      <c r="E18" s="47"/>
      <c r="F18" s="118" t="s">
        <v>7</v>
      </c>
      <c r="G18" s="117">
        <v>30</v>
      </c>
      <c r="H18" s="46"/>
      <c r="I18" s="46"/>
      <c r="J18" s="46"/>
      <c r="K18" s="46"/>
      <c r="L18" s="46"/>
    </row>
    <row r="19" spans="1:12" s="4" customFormat="1" ht="15" customHeight="1" x14ac:dyDescent="0.35">
      <c r="A19" s="26" t="s">
        <v>147</v>
      </c>
      <c r="C19" s="116" t="s">
        <v>8</v>
      </c>
      <c r="D19" s="117">
        <v>60</v>
      </c>
      <c r="E19" s="47"/>
      <c r="F19" s="118" t="s">
        <v>9</v>
      </c>
      <c r="G19" s="117">
        <v>10</v>
      </c>
      <c r="H19" s="46"/>
      <c r="I19" s="46"/>
      <c r="J19" s="46"/>
      <c r="K19" s="46"/>
      <c r="L19" s="46"/>
    </row>
    <row r="20" spans="1:12" s="4" customFormat="1" ht="15" customHeight="1" x14ac:dyDescent="0.35">
      <c r="A20" s="26" t="s">
        <v>30</v>
      </c>
      <c r="C20" s="116" t="s">
        <v>10</v>
      </c>
      <c r="D20" s="117">
        <v>40</v>
      </c>
      <c r="E20" s="47"/>
      <c r="F20" s="118" t="s">
        <v>11</v>
      </c>
      <c r="G20" s="117">
        <v>50</v>
      </c>
      <c r="H20" s="46"/>
      <c r="I20" s="46"/>
      <c r="J20" s="46"/>
      <c r="K20" s="46"/>
      <c r="L20" s="46"/>
    </row>
    <row r="21" spans="1:12" s="4" customFormat="1" ht="15" customHeight="1" thickBot="1" x14ac:dyDescent="0.4">
      <c r="A21" s="26" t="s">
        <v>71</v>
      </c>
      <c r="C21" s="46"/>
      <c r="D21" s="46"/>
      <c r="E21" s="46"/>
      <c r="F21" s="46"/>
      <c r="G21" s="46"/>
      <c r="H21" s="46"/>
      <c r="I21" s="46"/>
      <c r="J21" s="46"/>
      <c r="K21" s="46"/>
      <c r="L21" s="46"/>
    </row>
    <row r="22" spans="1:12" s="4" customFormat="1" ht="15" customHeight="1" thickTop="1" thickBot="1" x14ac:dyDescent="0.4">
      <c r="A22" s="26" t="s">
        <v>72</v>
      </c>
      <c r="C22" s="62" t="s">
        <v>4</v>
      </c>
      <c r="D22" s="50">
        <f>VLOOKUP(C22,C17:D20,2)</f>
        <v>50</v>
      </c>
      <c r="E22" s="47"/>
      <c r="F22" s="62" t="s">
        <v>9</v>
      </c>
      <c r="G22" s="50">
        <f>VLOOKUP(F22,F17:G20,2)</f>
        <v>10</v>
      </c>
      <c r="H22" s="46"/>
      <c r="I22" s="46"/>
      <c r="J22" s="46"/>
      <c r="K22" s="46"/>
      <c r="L22" s="46"/>
    </row>
    <row r="23" spans="1:12" s="4" customFormat="1" ht="15" customHeight="1" thickTop="1" x14ac:dyDescent="0.35">
      <c r="A23" s="26" t="s">
        <v>73</v>
      </c>
      <c r="C23" s="46"/>
      <c r="D23" s="47"/>
      <c r="E23" s="47"/>
      <c r="F23" s="46"/>
      <c r="G23" s="47"/>
      <c r="H23" s="46"/>
      <c r="I23" s="46"/>
      <c r="J23" s="46"/>
      <c r="K23" s="46"/>
      <c r="L23" s="46"/>
    </row>
    <row r="24" spans="1:12" s="4" customFormat="1" ht="15" customHeight="1" x14ac:dyDescent="0.35">
      <c r="A24" s="26" t="s">
        <v>74</v>
      </c>
      <c r="H24" s="46"/>
      <c r="I24" s="46"/>
      <c r="J24" s="46"/>
      <c r="K24" s="46"/>
      <c r="L24" s="46"/>
    </row>
    <row r="25" spans="1:12" s="4" customFormat="1" ht="15" customHeight="1" x14ac:dyDescent="0.35">
      <c r="A25" s="26" t="s">
        <v>33</v>
      </c>
      <c r="H25" s="46"/>
      <c r="I25" s="46"/>
      <c r="J25" s="46"/>
      <c r="K25" s="46"/>
      <c r="L25" s="46"/>
    </row>
    <row r="26" spans="1:12" ht="15" customHeight="1" x14ac:dyDescent="0.35">
      <c r="C26" s="4"/>
      <c r="E26" s="4"/>
      <c r="F26" s="4"/>
      <c r="G26" s="4"/>
      <c r="H26" s="45"/>
      <c r="I26" s="46"/>
      <c r="J26" s="46"/>
      <c r="K26" s="46"/>
      <c r="L26" s="46"/>
    </row>
    <row r="27" spans="1:12" ht="15" customHeight="1" x14ac:dyDescent="0.35">
      <c r="C27" s="4"/>
      <c r="E27" s="4"/>
      <c r="F27" s="4"/>
      <c r="G27" s="4"/>
      <c r="H27" s="45"/>
      <c r="I27" s="45"/>
      <c r="J27" s="45"/>
      <c r="K27" s="45"/>
      <c r="L27" s="45"/>
    </row>
    <row r="28" spans="1:12" ht="15" customHeight="1" x14ac:dyDescent="0.35">
      <c r="C28" s="4"/>
      <c r="E28" s="4"/>
      <c r="F28" s="4"/>
      <c r="G28" s="4"/>
      <c r="H28" s="45"/>
      <c r="I28" s="45"/>
      <c r="J28" s="45"/>
      <c r="K28" s="45"/>
      <c r="L28" s="45"/>
    </row>
    <row r="29" spans="1:12" ht="15" customHeight="1" x14ac:dyDescent="0.35">
      <c r="H29" s="45"/>
      <c r="I29" s="45"/>
      <c r="J29" s="45"/>
      <c r="K29" s="45"/>
      <c r="L29" s="45"/>
    </row>
    <row r="30" spans="1:12" ht="15" customHeight="1" x14ac:dyDescent="0.35">
      <c r="H30" s="45"/>
      <c r="I30" s="45"/>
      <c r="J30" s="45"/>
      <c r="K30" s="45"/>
      <c r="L30" s="45"/>
    </row>
    <row r="31" spans="1:12" ht="15" customHeight="1" x14ac:dyDescent="0.35">
      <c r="H31" s="45"/>
      <c r="I31" s="45"/>
      <c r="J31" s="45"/>
      <c r="K31" s="45"/>
      <c r="L31" s="45"/>
    </row>
    <row r="32" spans="1:12" ht="15" customHeight="1" x14ac:dyDescent="0.35">
      <c r="H32" s="45"/>
      <c r="I32" s="45"/>
      <c r="J32" s="45"/>
      <c r="K32" s="45"/>
      <c r="L32" s="45"/>
    </row>
    <row r="33" spans="2:7" ht="15" customHeight="1" x14ac:dyDescent="0.35">
      <c r="B33" s="45"/>
      <c r="C33" s="104"/>
      <c r="D33" s="105"/>
      <c r="E33" s="105"/>
      <c r="F33" s="105"/>
      <c r="G33" s="105"/>
    </row>
    <row r="34" spans="2:7" ht="15" customHeight="1" x14ac:dyDescent="0.35">
      <c r="B34" s="45"/>
      <c r="C34" s="105"/>
      <c r="D34" s="105"/>
      <c r="E34" s="105"/>
      <c r="F34" s="105"/>
      <c r="G34" s="105"/>
    </row>
    <row r="35" spans="2:7" ht="15" customHeight="1" x14ac:dyDescent="0.35">
      <c r="B35" s="45"/>
      <c r="C35" s="94" t="s">
        <v>22</v>
      </c>
      <c r="D35" s="92"/>
      <c r="E35" s="92"/>
      <c r="F35" s="92"/>
      <c r="G35" s="92"/>
    </row>
    <row r="36" spans="2:7" ht="15" customHeight="1" x14ac:dyDescent="0.35">
      <c r="B36" s="45"/>
      <c r="C36" s="39" t="s">
        <v>12</v>
      </c>
      <c r="D36" s="34" t="s">
        <v>2</v>
      </c>
      <c r="E36" s="25"/>
      <c r="F36" s="33" t="s">
        <v>12</v>
      </c>
      <c r="G36" s="34" t="s">
        <v>2</v>
      </c>
    </row>
    <row r="37" spans="2:7" ht="15" customHeight="1" x14ac:dyDescent="0.35">
      <c r="B37" s="45"/>
      <c r="C37" s="116" t="s">
        <v>13</v>
      </c>
      <c r="D37" s="117">
        <v>50</v>
      </c>
      <c r="E37" s="47"/>
      <c r="F37" s="118" t="s">
        <v>13</v>
      </c>
      <c r="G37" s="117">
        <v>50</v>
      </c>
    </row>
    <row r="38" spans="2:7" ht="15" customHeight="1" x14ac:dyDescent="0.35">
      <c r="B38" s="45"/>
      <c r="C38" s="116" t="s">
        <v>14</v>
      </c>
      <c r="D38" s="117">
        <v>100</v>
      </c>
      <c r="E38" s="47"/>
      <c r="F38" s="118" t="s">
        <v>14</v>
      </c>
      <c r="G38" s="117">
        <v>100</v>
      </c>
    </row>
    <row r="39" spans="2:7" ht="15" customHeight="1" x14ac:dyDescent="0.35">
      <c r="B39" s="45"/>
      <c r="C39" s="116" t="s">
        <v>15</v>
      </c>
      <c r="D39" s="117">
        <v>40</v>
      </c>
      <c r="E39" s="47"/>
      <c r="F39" s="118" t="s">
        <v>15</v>
      </c>
      <c r="G39" s="117">
        <v>40</v>
      </c>
    </row>
    <row r="40" spans="2:7" ht="15" customHeight="1" x14ac:dyDescent="0.35">
      <c r="C40" s="116" t="s">
        <v>16</v>
      </c>
      <c r="D40" s="117">
        <v>50</v>
      </c>
      <c r="E40" s="47"/>
      <c r="F40" s="118" t="s">
        <v>16</v>
      </c>
      <c r="G40" s="117">
        <v>50</v>
      </c>
    </row>
    <row r="41" spans="2:7" ht="15" customHeight="1" x14ac:dyDescent="0.35">
      <c r="C41" s="116" t="s">
        <v>17</v>
      </c>
      <c r="D41" s="117">
        <v>20</v>
      </c>
      <c r="E41" s="47"/>
      <c r="F41" s="118" t="s">
        <v>17</v>
      </c>
      <c r="G41" s="117">
        <v>20</v>
      </c>
    </row>
    <row r="42" spans="2:7" ht="15" customHeight="1" thickBot="1" x14ac:dyDescent="0.4">
      <c r="C42" s="46"/>
      <c r="D42" s="46"/>
      <c r="E42" s="46"/>
      <c r="F42" s="46"/>
      <c r="G42" s="46"/>
    </row>
    <row r="43" spans="2:7" ht="15" customHeight="1" thickTop="1" thickBot="1" x14ac:dyDescent="0.4">
      <c r="B43" s="45"/>
      <c r="C43" s="62" t="s">
        <v>15</v>
      </c>
      <c r="D43" s="50">
        <f>VLOOKUP(C43,C37:D41,2,FALSE)</f>
        <v>40</v>
      </c>
      <c r="E43" s="47"/>
      <c r="F43" s="96" t="s">
        <v>14</v>
      </c>
      <c r="G43" s="50">
        <f>IFERROR(VLOOKUP(F43,F37:G41,2,FALSE),"")</f>
        <v>100</v>
      </c>
    </row>
    <row r="44" spans="2:7" ht="15" customHeight="1" thickTop="1" x14ac:dyDescent="0.35">
      <c r="B44" s="45"/>
      <c r="C44" s="45"/>
      <c r="D44" s="46"/>
      <c r="E44" s="45"/>
      <c r="F44" s="45"/>
      <c r="G44" s="45"/>
    </row>
    <row r="45" spans="2:7" ht="15" customHeight="1" x14ac:dyDescent="0.35">
      <c r="B45" s="45"/>
      <c r="C45" s="45"/>
      <c r="D45" s="46"/>
      <c r="E45" s="45"/>
      <c r="F45" s="45"/>
      <c r="G45" s="45"/>
    </row>
    <row r="46" spans="2:7" ht="15" customHeight="1" x14ac:dyDescent="0.35">
      <c r="B46" s="45"/>
      <c r="C46" s="45"/>
      <c r="D46" s="46"/>
      <c r="E46" s="45"/>
      <c r="F46" s="45"/>
      <c r="G46" s="45"/>
    </row>
    <row r="47" spans="2:7" ht="15" customHeight="1" x14ac:dyDescent="0.35">
      <c r="B47" s="45"/>
      <c r="C47" s="45"/>
      <c r="D47" s="46"/>
      <c r="E47" s="45"/>
      <c r="F47" s="45"/>
      <c r="G47" s="45"/>
    </row>
    <row r="48" spans="2:7" ht="15" customHeight="1" x14ac:dyDescent="0.35">
      <c r="B48" s="45"/>
      <c r="C48" s="45"/>
      <c r="D48" s="46"/>
      <c r="E48" s="45"/>
      <c r="F48" s="45"/>
      <c r="G48" s="45"/>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workbookViewId="0">
      <selection activeCell="D10" sqref="D10"/>
    </sheetView>
  </sheetViews>
  <sheetFormatPr defaultColWidth="8.90625" defaultRowHeight="14.5" x14ac:dyDescent="0.35"/>
  <cols>
    <col min="1" max="1" width="12.6328125" style="9" customWidth="1"/>
    <col min="2" max="2" width="82.90625" style="24" customWidth="1"/>
    <col min="3" max="4" width="12.6328125" style="20" customWidth="1"/>
    <col min="5" max="5" width="8.453125" style="20" bestFit="1" customWidth="1"/>
    <col min="6" max="8" width="12.6328125" style="20" customWidth="1"/>
    <col min="9" max="25" width="8.90625" style="20"/>
    <col min="26" max="26" width="8.90625" style="20" hidden="1" customWidth="1"/>
    <col min="27" max="27" width="2.36328125" style="20" hidden="1" customWidth="1"/>
    <col min="28" max="28" width="11" style="20" hidden="1" customWidth="1"/>
    <col min="29" max="29" width="2.36328125" style="20" hidden="1" customWidth="1"/>
    <col min="30" max="30" width="11" style="20" hidden="1" customWidth="1"/>
    <col min="31" max="31" width="2.36328125" style="20" hidden="1" customWidth="1"/>
    <col min="32" max="32" width="11" style="20" hidden="1" customWidth="1"/>
    <col min="33" max="33" width="2.36328125" style="20" hidden="1" customWidth="1"/>
    <col min="34" max="34" width="11" style="20" hidden="1" customWidth="1"/>
    <col min="35" max="16384" width="8.90625" style="20"/>
  </cols>
  <sheetData>
    <row r="1" spans="1:34" ht="60" customHeight="1" x14ac:dyDescent="0.35">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35">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35">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35">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4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35">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35">
      <c r="A7" s="29" t="s">
        <v>286</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35">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35">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35">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35">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35">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35">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35">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35">
      <c r="A15" s="31" t="s">
        <v>297</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4">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4">
      <c r="A17" s="29" t="s">
        <v>137</v>
      </c>
      <c r="B17" s="46"/>
      <c r="C17" s="54" t="s">
        <v>4</v>
      </c>
      <c r="D17" s="55"/>
      <c r="E17" s="47"/>
      <c r="F17" s="54" t="s">
        <v>6</v>
      </c>
      <c r="G17" s="54" t="s">
        <v>46</v>
      </c>
      <c r="H17" s="50"/>
      <c r="I17" s="46"/>
      <c r="J17" s="56"/>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35">
      <c r="A18" s="29" t="s">
        <v>235</v>
      </c>
      <c r="B18" s="46"/>
      <c r="C18" s="46"/>
      <c r="D18" s="46"/>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35">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35">
      <c r="A20" s="29" t="s">
        <v>308</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35">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35">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35">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35">
      <c r="A24" s="31" t="s">
        <v>307</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35">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35">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35">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35">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35">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35">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35">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35">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35">
      <c r="A33" s="99" t="s">
        <v>309</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35">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35">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35">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35">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35">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35">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35">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35">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35">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35">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35">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35">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35">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35">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35">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35">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35">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35">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35">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35">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35">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35">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35">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35">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35">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35">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35">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35">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35">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 thickBot="1" x14ac:dyDescent="0.4">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5.5" thickTop="1" thickBot="1" x14ac:dyDescent="0.4">
      <c r="B64" s="9"/>
      <c r="C64" s="54" t="s">
        <v>4</v>
      </c>
      <c r="D64" s="55">
        <f>COUNTIF(C50:C61,C64)</f>
        <v>3</v>
      </c>
      <c r="E64" s="47"/>
      <c r="F64" s="54" t="s">
        <v>6</v>
      </c>
      <c r="G64" s="54" t="s">
        <v>46</v>
      </c>
      <c r="H64" s="50">
        <f>COUNTIFS(F50:F61,F64,G50:G61,G64)</f>
        <v>1</v>
      </c>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 thickTop="1" x14ac:dyDescent="0.35">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35">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35">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35">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35">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35">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35">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35">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35">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35">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35">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35">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35">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35">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35">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35">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35">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35">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35">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35">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35">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35">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35">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35">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35">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35">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35">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35">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35">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35">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35">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35">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35">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35">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35">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35">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35">
      <c r="B101" s="9"/>
      <c r="C101" s="48" t="s">
        <v>6</v>
      </c>
      <c r="D101" s="48" t="s">
        <v>50</v>
      </c>
      <c r="E101" s="49">
        <v>20</v>
      </c>
      <c r="F101" s="45"/>
      <c r="G101" s="45"/>
    </row>
    <row r="102" spans="2:34" ht="15" customHeight="1" x14ac:dyDescent="0.35">
      <c r="B102" s="9"/>
      <c r="C102" s="48" t="s">
        <v>8</v>
      </c>
      <c r="D102" s="48" t="s">
        <v>47</v>
      </c>
      <c r="E102" s="49">
        <v>60</v>
      </c>
      <c r="F102" s="45"/>
      <c r="G102" s="45"/>
    </row>
    <row r="103" spans="2:34" ht="15" customHeight="1" x14ac:dyDescent="0.35">
      <c r="B103" s="9"/>
      <c r="C103" s="48" t="s">
        <v>10</v>
      </c>
      <c r="D103" s="48" t="s">
        <v>52</v>
      </c>
      <c r="E103" s="49">
        <v>40</v>
      </c>
      <c r="F103" s="45"/>
      <c r="G103" s="45"/>
    </row>
    <row r="104" spans="2:34" ht="15" customHeight="1" x14ac:dyDescent="0.35">
      <c r="B104" s="9"/>
      <c r="C104" s="46"/>
      <c r="D104" s="46"/>
      <c r="E104" s="47"/>
    </row>
    <row r="105" spans="2:34" ht="15" customHeight="1" thickBot="1" x14ac:dyDescent="0.4">
      <c r="B105" s="9"/>
      <c r="C105" s="46" t="s">
        <v>1</v>
      </c>
      <c r="D105" s="46" t="s">
        <v>44</v>
      </c>
      <c r="E105" s="25" t="s">
        <v>82</v>
      </c>
    </row>
    <row r="106" spans="2:34" ht="15" customHeight="1" thickTop="1" thickBot="1" x14ac:dyDescent="0.4">
      <c r="B106" s="9"/>
      <c r="C106" s="54" t="s">
        <v>10</v>
      </c>
      <c r="D106" s="54" t="s">
        <v>52</v>
      </c>
      <c r="E106" s="50">
        <f>SUMIFS(E92:E103,C92:C103,C106,D92:D103,D106)</f>
        <v>80</v>
      </c>
    </row>
    <row r="107" spans="2:34" ht="15" customHeight="1" thickTop="1" x14ac:dyDescent="0.35">
      <c r="B107" s="9"/>
      <c r="E107" s="45"/>
    </row>
    <row r="108" spans="2:34" x14ac:dyDescent="0.35">
      <c r="E108" s="45"/>
    </row>
    <row r="109" spans="2:34" x14ac:dyDescent="0.35">
      <c r="E109" s="45"/>
    </row>
    <row r="110" spans="2:34" x14ac:dyDescent="0.35">
      <c r="E110" s="45"/>
    </row>
    <row r="117" spans="3:4" x14ac:dyDescent="0.35">
      <c r="C117" s="7" t="s">
        <v>12</v>
      </c>
      <c r="D117" s="7" t="s">
        <v>2</v>
      </c>
    </row>
    <row r="118" spans="3:4" x14ac:dyDescent="0.35">
      <c r="C118" s="13" t="s">
        <v>13</v>
      </c>
      <c r="D118" s="13">
        <v>50</v>
      </c>
    </row>
    <row r="119" spans="3:4" x14ac:dyDescent="0.35">
      <c r="C119" s="13" t="s">
        <v>14</v>
      </c>
      <c r="D119" s="13">
        <v>100</v>
      </c>
    </row>
    <row r="120" spans="3:4" x14ac:dyDescent="0.35">
      <c r="C120" s="13" t="s">
        <v>15</v>
      </c>
      <c r="D120" s="13">
        <v>40</v>
      </c>
    </row>
    <row r="121" spans="3:4" x14ac:dyDescent="0.35">
      <c r="C121" s="13" t="s">
        <v>16</v>
      </c>
      <c r="D121" s="13">
        <v>50</v>
      </c>
    </row>
    <row r="122" spans="3:4" ht="15" thickBot="1" x14ac:dyDescent="0.4">
      <c r="C122" s="13" t="s">
        <v>17</v>
      </c>
      <c r="D122" s="13">
        <v>20</v>
      </c>
    </row>
    <row r="123" spans="3:4" ht="15.5" thickTop="1" thickBot="1" x14ac:dyDescent="0.4">
      <c r="C123" s="59"/>
      <c r="D123" s="60">
        <f>SUMIF(D118:D122,"&gt;=50")</f>
        <v>200</v>
      </c>
    </row>
    <row r="124" spans="3:4" ht="15" thickTop="1" x14ac:dyDescent="0.35"/>
  </sheetData>
  <dataValidations disablePrompts="1"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heetViews>
  <sheetFormatPr defaultRowHeight="14.5" x14ac:dyDescent="0.35"/>
  <cols>
    <col min="1" max="1" width="13" customWidth="1"/>
    <col min="2" max="2" width="82.90625" customWidth="1"/>
    <col min="3" max="4" width="13.08984375" customWidth="1"/>
  </cols>
  <sheetData>
    <row r="1" spans="1:4" ht="60" customHeight="1" x14ac:dyDescent="0.35">
      <c r="A1" s="29" t="s">
        <v>257</v>
      </c>
      <c r="C1" s="80"/>
      <c r="D1" s="93"/>
    </row>
    <row r="2" spans="1:4" x14ac:dyDescent="0.35">
      <c r="A2" s="29" t="s">
        <v>258</v>
      </c>
    </row>
    <row r="3" spans="1:4" ht="15" customHeight="1" x14ac:dyDescent="0.35">
      <c r="A3" s="31" t="s">
        <v>312</v>
      </c>
    </row>
    <row r="4" spans="1:4" ht="15" customHeight="1" x14ac:dyDescent="0.35">
      <c r="A4" s="31" t="s">
        <v>287</v>
      </c>
      <c r="C4" s="39" t="s">
        <v>1</v>
      </c>
      <c r="D4" s="34" t="s">
        <v>2</v>
      </c>
    </row>
    <row r="5" spans="1:4" ht="15" customHeight="1" x14ac:dyDescent="0.35">
      <c r="A5" s="31" t="s">
        <v>298</v>
      </c>
      <c r="C5" s="48" t="s">
        <v>4</v>
      </c>
      <c r="D5" s="49">
        <v>50</v>
      </c>
    </row>
    <row r="6" spans="1:4" x14ac:dyDescent="0.35">
      <c r="A6" s="29" t="s">
        <v>259</v>
      </c>
      <c r="C6" s="48" t="s">
        <v>6</v>
      </c>
      <c r="D6" s="49">
        <v>20</v>
      </c>
    </row>
    <row r="7" spans="1:4" ht="15" customHeight="1" x14ac:dyDescent="0.35">
      <c r="A7" s="31" t="s">
        <v>288</v>
      </c>
      <c r="C7" s="48" t="s">
        <v>8</v>
      </c>
      <c r="D7" s="49">
        <v>60</v>
      </c>
    </row>
    <row r="8" spans="1:4" ht="15" customHeight="1" x14ac:dyDescent="0.35">
      <c r="A8" s="29" t="s">
        <v>146</v>
      </c>
      <c r="C8" s="48" t="s">
        <v>10</v>
      </c>
      <c r="D8" s="49">
        <v>40</v>
      </c>
    </row>
    <row r="9" spans="1:4" ht="15" customHeight="1" thickBot="1" x14ac:dyDescent="0.4">
      <c r="A9" s="29" t="s">
        <v>147</v>
      </c>
      <c r="C9" s="46"/>
      <c r="D9" s="46"/>
    </row>
    <row r="10" spans="1:4" ht="15.5" thickTop="1" thickBot="1" x14ac:dyDescent="0.4">
      <c r="A10" s="29" t="s">
        <v>30</v>
      </c>
      <c r="C10" s="62" t="s">
        <v>4</v>
      </c>
      <c r="D10" s="50">
        <f>VLOOKUP(C10,C5:D8,2,FALSE)</f>
        <v>50</v>
      </c>
    </row>
    <row r="11" spans="1:4" ht="15" thickTop="1" x14ac:dyDescent="0.35">
      <c r="A11" s="29" t="s">
        <v>149</v>
      </c>
    </row>
    <row r="12" spans="1:4" x14ac:dyDescent="0.35">
      <c r="A12" s="29" t="s">
        <v>260</v>
      </c>
    </row>
    <row r="13" spans="1:4" x14ac:dyDescent="0.35">
      <c r="A13" s="29" t="s">
        <v>261</v>
      </c>
    </row>
    <row r="14" spans="1:4" x14ac:dyDescent="0.35">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heetViews>
  <sheetFormatPr defaultRowHeight="14.5" x14ac:dyDescent="0.35"/>
  <cols>
    <col min="1" max="1" width="13" customWidth="1"/>
    <col min="2" max="2" width="82.90625" customWidth="1"/>
    <col min="3" max="4" width="13.36328125" customWidth="1"/>
  </cols>
  <sheetData>
    <row r="1" spans="1:4" ht="60" customHeight="1" x14ac:dyDescent="0.35">
      <c r="A1" s="29" t="s">
        <v>262</v>
      </c>
      <c r="C1" s="80"/>
      <c r="D1" s="98"/>
    </row>
    <row r="2" spans="1:4" ht="15" customHeight="1" x14ac:dyDescent="0.35">
      <c r="A2" s="29" t="s">
        <v>263</v>
      </c>
      <c r="C2" s="97"/>
      <c r="D2" s="97"/>
    </row>
    <row r="3" spans="1:4" x14ac:dyDescent="0.35">
      <c r="A3" s="29" t="s">
        <v>264</v>
      </c>
      <c r="C3" s="39" t="s">
        <v>1</v>
      </c>
      <c r="D3" s="34" t="s">
        <v>2</v>
      </c>
    </row>
    <row r="4" spans="1:4" x14ac:dyDescent="0.35">
      <c r="A4" s="29" t="s">
        <v>265</v>
      </c>
      <c r="C4" s="116" t="s">
        <v>4</v>
      </c>
      <c r="D4" s="117">
        <v>50</v>
      </c>
    </row>
    <row r="5" spans="1:4" x14ac:dyDescent="0.35">
      <c r="A5" s="29" t="s">
        <v>266</v>
      </c>
      <c r="C5" s="116" t="s">
        <v>6</v>
      </c>
      <c r="D5" s="117">
        <v>20</v>
      </c>
    </row>
    <row r="6" spans="1:4" x14ac:dyDescent="0.35">
      <c r="A6" s="29" t="s">
        <v>267</v>
      </c>
      <c r="C6" s="116" t="s">
        <v>8</v>
      </c>
      <c r="D6" s="117">
        <v>60</v>
      </c>
    </row>
    <row r="7" spans="1:4" ht="15" customHeight="1" x14ac:dyDescent="0.35">
      <c r="A7" s="31" t="s">
        <v>289</v>
      </c>
      <c r="C7" s="116" t="s">
        <v>10</v>
      </c>
      <c r="D7" s="117">
        <v>40</v>
      </c>
    </row>
    <row r="8" spans="1:4" ht="15" thickBot="1" x14ac:dyDescent="0.4">
      <c r="A8" s="29" t="s">
        <v>146</v>
      </c>
      <c r="C8" s="46"/>
      <c r="D8" s="46"/>
    </row>
    <row r="9" spans="1:4" ht="15.5" thickTop="1" thickBot="1" x14ac:dyDescent="0.4">
      <c r="A9" s="29" t="s">
        <v>147</v>
      </c>
      <c r="C9" s="96" t="s">
        <v>121</v>
      </c>
      <c r="D9" s="50" t="e">
        <f>VLOOKUP(C9,C3:D7,2,FALSE)</f>
        <v>#N/A</v>
      </c>
    </row>
    <row r="10" spans="1:4" ht="15" thickTop="1" x14ac:dyDescent="0.35">
      <c r="A10" s="29" t="s">
        <v>30</v>
      </c>
    </row>
    <row r="11" spans="1:4" x14ac:dyDescent="0.35">
      <c r="A11" s="29" t="s">
        <v>268</v>
      </c>
    </row>
    <row r="12" spans="1:4" x14ac:dyDescent="0.35">
      <c r="A12" s="29" t="s">
        <v>269</v>
      </c>
    </row>
    <row r="13" spans="1:4" x14ac:dyDescent="0.35">
      <c r="A13" s="29" t="s">
        <v>270</v>
      </c>
    </row>
    <row r="14" spans="1:4" x14ac:dyDescent="0.35">
      <c r="A14" s="29" t="s">
        <v>33</v>
      </c>
    </row>
    <row r="30" spans="3:4" x14ac:dyDescent="0.35">
      <c r="C30" s="39" t="s">
        <v>1</v>
      </c>
      <c r="D30" s="34" t="s">
        <v>2</v>
      </c>
    </row>
    <row r="31" spans="3:4" x14ac:dyDescent="0.35">
      <c r="C31" s="116" t="s">
        <v>4</v>
      </c>
      <c r="D31" s="117">
        <v>50</v>
      </c>
    </row>
    <row r="32" spans="3:4" x14ac:dyDescent="0.35">
      <c r="C32" s="116" t="s">
        <v>6</v>
      </c>
      <c r="D32" s="117">
        <v>20</v>
      </c>
    </row>
    <row r="33" spans="3:4" x14ac:dyDescent="0.35">
      <c r="C33" s="116" t="s">
        <v>8</v>
      </c>
      <c r="D33" s="117">
        <v>60</v>
      </c>
    </row>
    <row r="34" spans="3:4" x14ac:dyDescent="0.35">
      <c r="C34" s="116" t="s">
        <v>10</v>
      </c>
      <c r="D34" s="117">
        <v>40</v>
      </c>
    </row>
    <row r="35" spans="3:4" ht="15" thickBot="1" x14ac:dyDescent="0.4"/>
    <row r="36" spans="3:4" ht="15.5" thickTop="1" thickBot="1" x14ac:dyDescent="0.4">
      <c r="C36" s="96" t="s">
        <v>65</v>
      </c>
      <c r="D36" s="50" t="e">
        <f ca="1">sume(D31:D34)</f>
        <v>#NAME?</v>
      </c>
    </row>
    <row r="37" spans="3:4" ht="15" thickTop="1" x14ac:dyDescent="0.35"/>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defaultColWidth="8.90625" defaultRowHeight="15" customHeight="1" x14ac:dyDescent="0.35"/>
  <cols>
    <col min="1" max="1" width="8.90625" style="9"/>
    <col min="2" max="2" width="95.08984375" style="40" customWidth="1"/>
    <col min="3" max="16384" width="8.90625" style="40"/>
  </cols>
  <sheetData>
    <row r="1" spans="1:2" ht="60" customHeight="1" x14ac:dyDescent="0.35">
      <c r="A1" s="9" t="s">
        <v>75</v>
      </c>
    </row>
    <row r="2" spans="1:2" s="41" customFormat="1" ht="15" customHeight="1" x14ac:dyDescent="0.45">
      <c r="A2" s="9" t="s">
        <v>76</v>
      </c>
      <c r="B2" s="40"/>
    </row>
    <row r="3" spans="1:2" s="41" customFormat="1" ht="15" customHeight="1" x14ac:dyDescent="0.45">
      <c r="A3" s="9" t="s">
        <v>77</v>
      </c>
      <c r="B3" s="40"/>
    </row>
    <row r="4" spans="1:2" s="42" customFormat="1" ht="15" customHeight="1" x14ac:dyDescent="0.9">
      <c r="A4" s="9" t="s">
        <v>78</v>
      </c>
      <c r="B4" s="40"/>
    </row>
    <row r="5" spans="1:2" s="43" customFormat="1" ht="15" customHeight="1" x14ac:dyDescent="0.35">
      <c r="A5" s="9" t="s">
        <v>79</v>
      </c>
      <c r="B5" s="40"/>
    </row>
    <row r="6" spans="1:2" s="43" customFormat="1" ht="15" customHeight="1" x14ac:dyDescent="0.35">
      <c r="A6" s="44" t="s">
        <v>80</v>
      </c>
      <c r="B6" s="40"/>
    </row>
    <row r="7" spans="1:2" ht="15" customHeight="1" x14ac:dyDescent="0.35">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45D96907-3760-4A02-914D-DEDD1ED3BC1D}">
  <ds:schemaRefs>
    <ds:schemaRef ds:uri="http://schemas.microsoft.com/sharepoint/v3/contenttype/forms"/>
  </ds:schemaRefs>
</ds:datastoreItem>
</file>

<file path=customXml/itemProps3.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2026-05-17T20:13:57Z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